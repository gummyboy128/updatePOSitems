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e_\Documents\Chee Repo\updatePos\updatePOSitems\"/>
    </mc:Choice>
  </mc:AlternateContent>
  <xr:revisionPtr revIDLastSave="0" documentId="13_ncr:9_{2BB02674-AC1B-4335-BB51-3E7AF271486E}" xr6:coauthVersionLast="47" xr6:coauthVersionMax="47" xr10:uidLastSave="{00000000-0000-0000-0000-000000000000}"/>
  <bookViews>
    <workbookView xWindow="-120" yWindow="-120" windowWidth="29040" windowHeight="15720" tabRatio="832" activeTab="8" xr2:uid="{0C232273-E9D7-4013-8A3F-60CECA1C59C0}"/>
  </bookViews>
  <sheets>
    <sheet name="Summary" sheetId="1" r:id="rId1"/>
    <sheet name="Frozen Food" sheetId="2" r:id="rId2"/>
    <sheet name="Beverages" sheetId="3" r:id="rId3"/>
    <sheet name="Groceries &amp; Breakfast" sheetId="4" r:id="rId4"/>
    <sheet name="Rice &amp; Oil" sheetId="7" r:id="rId5"/>
    <sheet name="Canned Food &amp; Condiment" sheetId="5" r:id="rId6"/>
    <sheet name="Snacks " sheetId="10" r:id="rId7"/>
    <sheet name="Tissue &amp; Others" sheetId="6" r:id="rId8"/>
    <sheet name="Cleaning Agent" sheetId="8" r:id="rId9"/>
  </sheets>
  <calcPr calcId="191029"/>
</workbook>
</file>

<file path=xl/calcChain.xml><?xml version="1.0" encoding="utf-8"?>
<calcChain xmlns="http://schemas.openxmlformats.org/spreadsheetml/2006/main">
  <c r="J44" i="2" l="1"/>
  <c r="J36" i="5"/>
  <c r="J11" i="5"/>
  <c r="J12" i="5"/>
  <c r="J12" i="8"/>
  <c r="J13" i="8"/>
  <c r="J11" i="8"/>
  <c r="J14" i="8"/>
  <c r="J15" i="8"/>
  <c r="J34" i="8"/>
  <c r="J35" i="8"/>
  <c r="J36" i="8"/>
  <c r="J37" i="8"/>
  <c r="J38" i="8"/>
  <c r="J7" i="6"/>
  <c r="J8" i="6"/>
  <c r="J9" i="6"/>
  <c r="J10" i="6"/>
  <c r="J11" i="6"/>
  <c r="J12" i="6"/>
  <c r="J13" i="6"/>
  <c r="J14" i="6"/>
  <c r="J15" i="6"/>
  <c r="J16" i="6"/>
  <c r="J17" i="6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5"/>
  <c r="J33" i="5"/>
  <c r="J34" i="5"/>
  <c r="J35" i="5"/>
  <c r="J24" i="7"/>
  <c r="J25" i="7"/>
  <c r="J26" i="7"/>
  <c r="J27" i="7"/>
  <c r="J15" i="7"/>
  <c r="J16" i="7"/>
  <c r="J17" i="7"/>
  <c r="J18" i="7"/>
  <c r="J30" i="4"/>
  <c r="J11" i="4"/>
  <c r="J12" i="4"/>
  <c r="J13" i="4"/>
  <c r="J14" i="4"/>
  <c r="J15" i="4"/>
  <c r="I1" i="8"/>
  <c r="J4" i="8"/>
  <c r="J5" i="8"/>
  <c r="J6" i="8"/>
  <c r="J7" i="8"/>
  <c r="J8" i="8"/>
  <c r="J9" i="8"/>
  <c r="J10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42" i="8"/>
  <c r="C13" i="1"/>
  <c r="J32" i="8"/>
  <c r="J33" i="8"/>
  <c r="J39" i="8"/>
  <c r="J40" i="8"/>
  <c r="J41" i="8"/>
  <c r="I1" i="6"/>
  <c r="J4" i="6"/>
  <c r="J5" i="6"/>
  <c r="J6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8" i="6"/>
  <c r="C12" i="1"/>
  <c r="J34" i="6"/>
  <c r="J35" i="6"/>
  <c r="J36" i="6"/>
  <c r="J37" i="6"/>
  <c r="I1" i="10"/>
  <c r="J4" i="10"/>
  <c r="J5" i="10"/>
  <c r="J6" i="10"/>
  <c r="J7" i="10"/>
  <c r="J8" i="10"/>
  <c r="J9" i="10"/>
  <c r="J10" i="10"/>
  <c r="J11" i="10"/>
  <c r="I1" i="5"/>
  <c r="J4" i="5"/>
  <c r="C10" i="1"/>
  <c r="J5" i="5"/>
  <c r="J6" i="5"/>
  <c r="J7" i="5"/>
  <c r="J8" i="5"/>
  <c r="J9" i="5"/>
  <c r="J10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I1" i="7"/>
  <c r="J4" i="7"/>
  <c r="J5" i="7"/>
  <c r="J6" i="7"/>
  <c r="J7" i="7"/>
  <c r="J8" i="7"/>
  <c r="J9" i="7"/>
  <c r="J10" i="7"/>
  <c r="J11" i="7"/>
  <c r="J12" i="7"/>
  <c r="J13" i="7"/>
  <c r="J14" i="7"/>
  <c r="J19" i="7"/>
  <c r="J20" i="7"/>
  <c r="J21" i="7"/>
  <c r="J22" i="7"/>
  <c r="J23" i="7"/>
  <c r="J28" i="7"/>
  <c r="J29" i="7"/>
  <c r="J30" i="7"/>
  <c r="J31" i="7"/>
  <c r="J32" i="7"/>
  <c r="I1" i="4"/>
  <c r="J4" i="4"/>
  <c r="J5" i="4"/>
  <c r="J6" i="4"/>
  <c r="J7" i="4"/>
  <c r="J8" i="4"/>
  <c r="J9" i="4"/>
  <c r="J10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I1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C6" i="1"/>
  <c r="C7" i="1"/>
  <c r="J33" i="7"/>
  <c r="J32" i="10"/>
  <c r="C11" i="1"/>
  <c r="C9" i="1"/>
  <c r="C8" i="1"/>
  <c r="C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karynn_heng</author>
  </authors>
  <commentList>
    <comment ref="C2" authorId="0" shapeId="0" xr:uid="{E7906BB7-EA39-4824-A405-2FB12FF2DAD9}">
      <text>
        <r>
          <rPr>
            <b/>
            <sz val="11"/>
            <color indexed="81"/>
            <rFont val="Tahoma"/>
            <family val="2"/>
          </rPr>
          <t>karynn_heng:</t>
        </r>
        <r>
          <rPr>
            <sz val="11"/>
            <color indexed="81"/>
            <rFont val="Tahoma"/>
            <family val="2"/>
          </rPr>
          <t xml:space="preserve">
est 800pax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Karynn Heng Bi Lian</author>
  </authors>
  <commentList>
    <comment ref="E25" authorId="0" shapeId="0" xr:uid="{047459FF-5A23-4249-9BA4-113F9073C360}">
      <text>
        <r>
          <rPr>
            <b/>
            <sz val="9"/>
            <color indexed="81"/>
            <rFont val="Tahoma"/>
            <family val="2"/>
          </rPr>
          <t>Karynn Heng Bi Lian:</t>
        </r>
        <r>
          <rPr>
            <sz val="9"/>
            <color indexed="81"/>
            <rFont val="Tahoma"/>
            <family val="2"/>
          </rPr>
          <t xml:space="preserve">
GF</t>
        </r>
      </text>
    </comment>
  </commentList>
</comments>
</file>

<file path=xl/sharedStrings.xml><?xml version="1.0" encoding="utf-8"?>
<sst xmlns="http://schemas.openxmlformats.org/spreadsheetml/2006/main" count="499" uniqueCount="397">
  <si>
    <t>Ver 2</t>
  </si>
  <si>
    <t>Location</t>
  </si>
  <si>
    <t>Date</t>
  </si>
  <si>
    <t>Supplies for:</t>
  </si>
  <si>
    <t>Date quoted:</t>
  </si>
  <si>
    <t>S/No</t>
  </si>
  <si>
    <t>Worksheet</t>
  </si>
  <si>
    <t>Sub Total</t>
  </si>
  <si>
    <t>Frozen Food</t>
  </si>
  <si>
    <t>Beverages</t>
  </si>
  <si>
    <t>Groceries &amp; Breakfast</t>
  </si>
  <si>
    <t>Canned Food</t>
  </si>
  <si>
    <t>Tissue &amp; Others</t>
  </si>
  <si>
    <t>Rice &amp; Oil</t>
  </si>
  <si>
    <t>Cleaning Agent</t>
  </si>
  <si>
    <t>Snacks</t>
  </si>
  <si>
    <t>Total</t>
  </si>
  <si>
    <t>Type</t>
  </si>
  <si>
    <t>Barcode</t>
  </si>
  <si>
    <t>Item Code</t>
  </si>
  <si>
    <t>Brand and Product Description</t>
  </si>
  <si>
    <t>Price</t>
  </si>
  <si>
    <t>Unit Price</t>
  </si>
  <si>
    <t>Beginning Units</t>
  </si>
  <si>
    <t>Total Cost</t>
  </si>
  <si>
    <t>Beverage -Elder</t>
  </si>
  <si>
    <t>Eggs</t>
  </si>
  <si>
    <t>C.Fruits</t>
  </si>
  <si>
    <t>Paper Products &amp; Others</t>
  </si>
  <si>
    <t>Cleaner - Others</t>
  </si>
  <si>
    <t>Item No.</t>
  </si>
  <si>
    <t>SNM</t>
  </si>
  <si>
    <t>TN</t>
  </si>
  <si>
    <t>Tampines North</t>
  </si>
  <si>
    <t>T/BITES ROTI PRATA PLAIN 325G</t>
  </si>
  <si>
    <t>H/FAMILY VINEGAR 5L</t>
  </si>
  <si>
    <t>8888626065106</t>
  </si>
  <si>
    <t>8888626065113</t>
  </si>
  <si>
    <t>8888626095691</t>
  </si>
  <si>
    <t>8888626069425</t>
  </si>
  <si>
    <t>8888626025025</t>
  </si>
  <si>
    <t>8888626025032</t>
  </si>
  <si>
    <t>8888626040776</t>
  </si>
  <si>
    <t>SOFTESS P/P JRT 2PLY 4X180M</t>
  </si>
  <si>
    <t>8888626066493</t>
  </si>
  <si>
    <t>8888626066486</t>
  </si>
  <si>
    <t>8888626102726</t>
  </si>
  <si>
    <t>8888626093864</t>
  </si>
  <si>
    <t>8888626093840</t>
  </si>
  <si>
    <t>8888626093857</t>
  </si>
  <si>
    <t>8888626093888</t>
  </si>
  <si>
    <t xml:space="preserve">H/FAMILY GROUNDNUT OIL 2L </t>
  </si>
  <si>
    <t xml:space="preserve">SOFTESS ADULT BODY WIPES(FRAG FREE)40S </t>
  </si>
  <si>
    <t>H/FAMILY YEE MEE 375G</t>
  </si>
  <si>
    <t xml:space="preserve">Pack Size </t>
  </si>
  <si>
    <t>Pack Size</t>
  </si>
  <si>
    <t>ROYAL G/MALI PREMIUM FRAGRANT RICE 5KG</t>
  </si>
  <si>
    <t>H/FAMILY VINEGAR 640ML</t>
  </si>
  <si>
    <t>8888626086026</t>
  </si>
  <si>
    <t>DRIED SHRIMP(F5)100G</t>
  </si>
  <si>
    <t>GOLDEN SWISS KANIMI CHUNK 180G</t>
  </si>
  <si>
    <t>HOMENIKS AB DETERGENT POWDER 5KG</t>
  </si>
  <si>
    <t>HERITAGE FARM BASMATI RICE 5KG</t>
  </si>
  <si>
    <t>HOMENIKS DISINFECTING WIPES FRESH 75S</t>
  </si>
  <si>
    <t>HOMENIKS BLEACH 3.8L</t>
  </si>
  <si>
    <t>HOMENIKS PINE DISINFECTANT 2L</t>
  </si>
  <si>
    <t>TASTY BITES PRAWN PASTE CKN WING 700G</t>
  </si>
  <si>
    <t>TASTY BITES CHEEZY CHICKEN MEATBALL 350G</t>
  </si>
  <si>
    <t>HAPPY FAMILY 100% FRAG SESAME OIL 750ML</t>
  </si>
  <si>
    <t>BAKE FOR YOU HEONG PEAH (ORIGINAL) 360G</t>
  </si>
  <si>
    <t>HERITAGE SINGAPORE FARM EGGS 10+2S(660G)</t>
  </si>
  <si>
    <t>HOMENIKS GLASS CLEANER 500ML+REF(ICOOL)</t>
  </si>
  <si>
    <t>8888626103327</t>
  </si>
  <si>
    <t>8888626103310</t>
  </si>
  <si>
    <t>BAKE FOR YOU JUMBO ENRICHED W/BREAD 600G</t>
  </si>
  <si>
    <t>BAKE FOR YOU J/ENRICHED W/M W/BREAD 600G</t>
  </si>
  <si>
    <t>Spread</t>
  </si>
  <si>
    <t xml:space="preserve">Snacks </t>
  </si>
  <si>
    <t>Bread</t>
  </si>
  <si>
    <t>HOMENIKS DISHWASHING LEMON 5L</t>
  </si>
  <si>
    <t>TASTY BITES G. CHEESE FINGER (20S) 500G</t>
  </si>
  <si>
    <t>SOFTESS P/P TRAVEL P/TISS 3PX4X50S(KITTY)</t>
  </si>
  <si>
    <t>Disinfecting Wipes</t>
  </si>
  <si>
    <t>Glass Cleaner</t>
  </si>
  <si>
    <t>ROYAL G/GRAIN PREMIUM FRAG RICE 5KG</t>
  </si>
  <si>
    <t>HAPPY FAMILY BROWN RICE 1.8KG</t>
  </si>
  <si>
    <t>T/BITES CURRY SAMOSA 500G</t>
  </si>
  <si>
    <t>HERITAGE FARM INSTANT OAT 1KG</t>
  </si>
  <si>
    <t>HERITAGE FARM SLICED NOODLES 600G</t>
  </si>
  <si>
    <t>HERITAGE FARM RAMEN NOODLES 600G</t>
  </si>
  <si>
    <t>Bleach</t>
  </si>
  <si>
    <t>T/BITES PIZZA CLASSIC CHEESE 2S</t>
  </si>
  <si>
    <t>FRUIT KING LYCHEE IN SYRUP 565G</t>
  </si>
  <si>
    <t>TASTY BITES CHEEZY CUTTLEFISH BALL 200G</t>
  </si>
  <si>
    <t>Canned Food &amp; Condiment</t>
  </si>
  <si>
    <t>H/FAMILY MARIE BISCUIT 240G</t>
  </si>
  <si>
    <t>HERITAGE FARM 3IN1 CEREAL&amp;OAT DRK 18X30G</t>
  </si>
  <si>
    <t>H/FAMILY MULTIGRAIN CRACKERS 440G</t>
  </si>
  <si>
    <t>Pizza</t>
  </si>
  <si>
    <t>SOFTESS P/P BR TIS 3PLY 3X10X200S(GRN)</t>
  </si>
  <si>
    <t>ROYAL G/GRAIN TAIWAN PEARL RICE 5KG</t>
  </si>
  <si>
    <t>HAPPY FAMILY RICE BRAN OIL 5L</t>
  </si>
  <si>
    <t>HOMENIKS FABRIC SOFTENER LAV(REF)1.8L</t>
  </si>
  <si>
    <t>H/FAMILY SARDINE IN TOMATO SAUCE 425G</t>
  </si>
  <si>
    <t>H/FAMILY BAKED BEAN TMT SAUCE 425G</t>
  </si>
  <si>
    <t>H/FAMILY WHOLE MUSHROOMS 425G</t>
  </si>
  <si>
    <t>H/FAMILY CHILLI SAUCE 500G</t>
  </si>
  <si>
    <t>H/FAMILY TOMATO SAUCE 485G</t>
  </si>
  <si>
    <t>SOFTESS AB BODY WASH-GOAT MILK 900ML</t>
  </si>
  <si>
    <t>SOFTESS P/P POCKET TISSUE 3PLY 6X12X8S</t>
  </si>
  <si>
    <t>SOFTESS ADULT DIAPERS L 8S</t>
  </si>
  <si>
    <t>SOFTESS ADULT DIAPERS M 10S</t>
  </si>
  <si>
    <t>HOMENIKS PINE DISINFECTANT 5L</t>
  </si>
  <si>
    <t>HOMENIKS STAIN REMOVER 1L</t>
  </si>
  <si>
    <t>H/FAMILY CREAM CRACKERS 8S 176G</t>
  </si>
  <si>
    <t>H/FAMILY EASI-COOK INSTANT NOODLES 700G</t>
  </si>
  <si>
    <t>H/FAMILY RED CARGO RICE VERMICELLI 400G</t>
  </si>
  <si>
    <t>Vermicelli</t>
  </si>
  <si>
    <t xml:space="preserve">Total </t>
  </si>
  <si>
    <t>BodyWash</t>
  </si>
  <si>
    <t>Rice</t>
  </si>
  <si>
    <t>Multi Purpose Cleaner</t>
  </si>
  <si>
    <t>Crackers</t>
  </si>
  <si>
    <t>Popcorn</t>
  </si>
  <si>
    <t>Biscuits</t>
  </si>
  <si>
    <t>BL</t>
  </si>
  <si>
    <t xml:space="preserve">Boon Lay  </t>
  </si>
  <si>
    <t>LK</t>
  </si>
  <si>
    <t xml:space="preserve">Leng Kee </t>
  </si>
  <si>
    <t>PC</t>
  </si>
  <si>
    <t xml:space="preserve">Punggol </t>
  </si>
  <si>
    <t>H/FAMILY FINE SUGAR 1KG</t>
  </si>
  <si>
    <t>HOMENIKS AB DETERGENT POWDER 1KG</t>
  </si>
  <si>
    <t>Nee Soon Central CC</t>
  </si>
  <si>
    <t>HOMENIKS WET WIPER SHEET 15S(LEMON)</t>
  </si>
  <si>
    <t>GERBER GRADUATES PUFFS STRAW APPLE 42G</t>
  </si>
  <si>
    <t>686352802877 /
0686352802877</t>
  </si>
  <si>
    <t>015000045203 /
 0015000045203</t>
  </si>
  <si>
    <t>BAKE FOR YOU PEANUT BUTTER CRUNCHY 510G</t>
  </si>
  <si>
    <t>MARIGOLD UHT CHOCO MILK 1L</t>
  </si>
  <si>
    <t>BAKE FOR YOU NONYA KAYA 400G</t>
  </si>
  <si>
    <t>H/FAMILY SUNFLOWER OIL 3L</t>
  </si>
  <si>
    <t>Prata</t>
  </si>
  <si>
    <t>M'GOLD UHT CHOCOLATE MILK 6X200ML</t>
  </si>
  <si>
    <t>HERITAGE FARM MILK TEA 15X36G</t>
  </si>
  <si>
    <t>T/BITES CRISPY CKN W BC WRAP 450G</t>
  </si>
  <si>
    <t>MARIGOLD ASIAN DRINK SOYABEAN L/SWEET 1L</t>
  </si>
  <si>
    <t>T/BITES CRISPY CKN W SEAWEED 1KG</t>
  </si>
  <si>
    <t>8888026443023 / 9557305000552</t>
  </si>
  <si>
    <t>H/FAMILY BRAISED PEANUTS 170G</t>
  </si>
  <si>
    <t>T/BITES ROASTED CKN YAKITORI(TERIYAKI)</t>
  </si>
  <si>
    <t>Dried Food</t>
  </si>
  <si>
    <t>H/FAMILY FRAGRANT JASMINE RICE5KG(VAC)</t>
  </si>
  <si>
    <t>H/FAMILY PICKLED LETTUCE 170G</t>
  </si>
  <si>
    <t>WANT WANT BABY BITES BANANA 50G</t>
  </si>
  <si>
    <t>SOFTESS AB WET WIPES PINE 50S</t>
  </si>
  <si>
    <t>HAPPY FAMILY RICE BRAN OIL 2L</t>
  </si>
  <si>
    <t>H/FAMILY H/HOLIDAYS ASST BISCUITS 600G</t>
  </si>
  <si>
    <t>Wiper Sheet</t>
  </si>
  <si>
    <t>T/BITES ROASTED CKN HOT WINGSTICK 1KG</t>
  </si>
  <si>
    <t>HAPPY FAMILY FRESH JAPANESE UDON 200G</t>
  </si>
  <si>
    <t>HOMENIKS AB TOILET CLEANER-LEMON 3X500ML</t>
  </si>
  <si>
    <t>8888026303037 / 8888026303105</t>
  </si>
  <si>
    <t>DAWN SWEETENER 380G</t>
  </si>
  <si>
    <t>Oil</t>
  </si>
  <si>
    <t>H/FAMILY HIMALAYAN PINK SALT 400G</t>
  </si>
  <si>
    <t>H/FAMILY ORGANIC ROASTED CHESTNUTS 150G</t>
  </si>
  <si>
    <t>Baby Diaper</t>
  </si>
  <si>
    <t>ROYAL G/GRAIN THAI JASMINE BRW RICE2.5KG</t>
  </si>
  <si>
    <t>Green Tea</t>
  </si>
  <si>
    <t>Baby Biscuits</t>
  </si>
  <si>
    <t>Dishwashing</t>
  </si>
  <si>
    <t>Seaweed</t>
  </si>
  <si>
    <t>Condensed Milk</t>
  </si>
  <si>
    <t>HERITAGE FARM Z CUT P/CHIPS ORGN 60G</t>
  </si>
  <si>
    <t xml:space="preserve">HERITAGE FARM Z CUT P/CHIPS H&amp;S 60G  </t>
  </si>
  <si>
    <t>T/BITES PIZZA HAWAIIAN 2S</t>
  </si>
  <si>
    <t xml:space="preserve">Toilet Cleaner </t>
  </si>
  <si>
    <t>8888626159829</t>
  </si>
  <si>
    <t xml:space="preserve">H/FARM SE/SEAWEED(PERILLA OIL)4GX8S </t>
  </si>
  <si>
    <t>8888626160252</t>
  </si>
  <si>
    <t>HOMENIKS BAKING &amp; COOKING PAPER (10MX30CM)</t>
  </si>
  <si>
    <t>HOMENIKS TRASH BAG 60X80CM(XL)1S-(FL)</t>
  </si>
  <si>
    <t>8888626160733</t>
  </si>
  <si>
    <t>HERITAGE FARM ORG COCONUT WATER 1L</t>
  </si>
  <si>
    <t>Chestnut</t>
  </si>
  <si>
    <t>8888626114668</t>
  </si>
  <si>
    <t>8888626161693</t>
  </si>
  <si>
    <t>Kitchen Wipes</t>
  </si>
  <si>
    <t>HOMENIKS GEL HAND SOAP(LAVENDER)500ML</t>
  </si>
  <si>
    <t>HOMENIKS TRASH BAG 45X60CM(M)3S-(H/T)</t>
  </si>
  <si>
    <t>HOMENIKS TRASH BAG 50X70CM(L)3S-(H/T)</t>
  </si>
  <si>
    <t>T/BITES OTAK OTAK POCKET BUN(ORGN)300G</t>
  </si>
  <si>
    <t xml:space="preserve">Hand wash </t>
  </si>
  <si>
    <t>8888626160276</t>
  </si>
  <si>
    <t>8888626160726</t>
  </si>
  <si>
    <t>T/BITES ROASTED CKN BUFFALO W/STICK 1KG</t>
  </si>
  <si>
    <t>ANLENE GOLD 5X PLAIN 550G</t>
  </si>
  <si>
    <t>SOFTESS WET WIPES LAVENDER 4X10S</t>
  </si>
  <si>
    <t>HERITAGE FARM PREMIUM S/COFFEE 200G+50G</t>
  </si>
  <si>
    <t>H/FAMILY NATURAL HONEY 1KG</t>
  </si>
  <si>
    <t>HOMENIKS AB KITCHEN WIPES 80S</t>
  </si>
  <si>
    <t>HOMENIKS M/PURPOSE CLEANER(FLORAL)2L</t>
  </si>
  <si>
    <t xml:space="preserve">T/BITES SPICY CRISPY CKN NUGGETS 700G </t>
  </si>
  <si>
    <t xml:space="preserve">HERITAGE FARM CHOCO MALT DRINK 15SX30G </t>
  </si>
  <si>
    <t>HERITAGE FARM GREEN TEA 50X1.5G</t>
  </si>
  <si>
    <t>HAPPY FAMILY NONYA SAMBAL CHILLI 250G</t>
  </si>
  <si>
    <t>Underpad</t>
  </si>
  <si>
    <t>T/BITES CRISPY CKN 1KG</t>
  </si>
  <si>
    <t>HERITAGE FARM CHOCO H'LNUT SPREAD 350G</t>
  </si>
  <si>
    <t>8888626005904</t>
  </si>
  <si>
    <t>FRUIT KING LONGAN IN SYRUP 565G</t>
  </si>
  <si>
    <t xml:space="preserve">H/FAMILY CHOCO CHIPS BISCUITS 160G </t>
  </si>
  <si>
    <t>Chips</t>
  </si>
  <si>
    <t>HERITAGE FARM TRAD.P/SAUCE 350G</t>
  </si>
  <si>
    <t>8888626204260</t>
  </si>
  <si>
    <t>H/F DRIED MUSHROOM 4-5 BAI HUA 200G</t>
  </si>
  <si>
    <t>H/FAMILY CHICKEN INSTANT NOODLE 5X80G(N)</t>
  </si>
  <si>
    <t>H/FAMILY VEGETABLE OIL 5L</t>
  </si>
  <si>
    <t>H/FAMILY TUNA MAYONNAISE 170G</t>
  </si>
  <si>
    <t>Tuna</t>
  </si>
  <si>
    <t>Wet Wipes</t>
  </si>
  <si>
    <t>SOFTESS ABSORBENT UNDERPAD L 10S</t>
  </si>
  <si>
    <t xml:space="preserve">H/FAMILY FRIED DACE(PRESER VEG)184G </t>
  </si>
  <si>
    <t xml:space="preserve">H/FAMILY FRIED DACE(BLACK BEANS)184G </t>
  </si>
  <si>
    <t>8888626168784</t>
  </si>
  <si>
    <t>8888626168777</t>
  </si>
  <si>
    <t>Fried Dace</t>
  </si>
  <si>
    <r>
      <t>TASTY BITES PRAWN PASTE BALL 150G</t>
    </r>
    <r>
      <rPr>
        <sz val="12"/>
        <color indexed="10"/>
        <rFont val="Calibri"/>
        <family val="2"/>
      </rPr>
      <t xml:space="preserve"> </t>
    </r>
  </si>
  <si>
    <t>8888626115108</t>
  </si>
  <si>
    <t>HERITAGE FARM EX VIRGIN OLIVE OIL 500ML</t>
  </si>
  <si>
    <t>8888626167923</t>
  </si>
  <si>
    <t>HERITAGE FARM CLASSIC OLIVE OIL 500ML</t>
  </si>
  <si>
    <t>888626167930</t>
  </si>
  <si>
    <t>HERITAGE FARM CLASSIC OLIVE OIL 1L</t>
  </si>
  <si>
    <t>Walnut</t>
  </si>
  <si>
    <t xml:space="preserve">SOFTESS P/P BR TIS 4PLY(10+2)1.8KG </t>
  </si>
  <si>
    <t>HERITAGE FARM CLASSIC OLIVE OIL 2L</t>
  </si>
  <si>
    <t>HERITAGE FARM EXTRA LIGHT OLIVE OIL 2L</t>
  </si>
  <si>
    <t>HAPPY FAMILY PONNI RICE 5KG</t>
  </si>
  <si>
    <t>H/FAMILY YFIN TUNA CHUNK IN SFOIL 170G</t>
  </si>
  <si>
    <t>H/FAMILY YFIN TUNA CHUNK IN BRINE 170G</t>
  </si>
  <si>
    <t xml:space="preserve">H/FAMILY SATAY FISH SNACK 40G </t>
  </si>
  <si>
    <t>SOFTESS P/P SOFTPACK TISS 3PLY 6X88S</t>
  </si>
  <si>
    <t>HOMENIKS CLING WRAP 200SQ(61MX30CM)</t>
  </si>
  <si>
    <t>8888626160245</t>
  </si>
  <si>
    <t>T/BITES CRISPY CKN NUGGETS 700G</t>
  </si>
  <si>
    <t>8888626088563 / 8885008965559</t>
  </si>
  <si>
    <t>EGG FOR YOU FRESH EGG'S 30S (1650G) PEP</t>
  </si>
  <si>
    <t>H/FAMILY PLAIN FLOUR 1KG</t>
  </si>
  <si>
    <t>H/FAMILY CURRY INSTANT NOODLE 5X78G(N)</t>
  </si>
  <si>
    <t>KARA COCONUT CREAM 200ML</t>
  </si>
  <si>
    <t>051000043764/ 0051000043764</t>
  </si>
  <si>
    <t>CAMPBELL'S CREAM OF MUSHROOM 290G</t>
  </si>
  <si>
    <t>H/FAMILY BROWN SUGAR 1KG</t>
  </si>
  <si>
    <t>POWERPLUS AB B/WASH-LAVENDER EUPHORIA 1L</t>
  </si>
  <si>
    <t>T/BITES CRISPY POPCORN CKN 450G</t>
  </si>
  <si>
    <t>HERITAGE FARM UHT FULL CREAM MILK 1L</t>
  </si>
  <si>
    <t>H/FAMILY FLOUR VERMICELLI 250G</t>
  </si>
  <si>
    <t>H/FAMILY VEG INSTANT NOODLE 5X78G(N)</t>
  </si>
  <si>
    <t>8888626118932</t>
  </si>
  <si>
    <t>HERITAGE FARM EXTRA LIGHT OLIVE OIL 1L</t>
  </si>
  <si>
    <t>H/FAMILY VEGETABLE OIL 2L</t>
  </si>
  <si>
    <t>FRUIT KING PINEAPPLE SLICE IN SYRUP567G</t>
  </si>
  <si>
    <t xml:space="preserve">Chicken Curry </t>
  </si>
  <si>
    <t xml:space="preserve">H/FAMILY THIN SKINNED WALNUT(ORI)300G  </t>
  </si>
  <si>
    <t>H/FAMILY CKN NUGGET(ORIGINAL)800G</t>
  </si>
  <si>
    <t>NANG RUM THAI (VAC)5KG</t>
  </si>
  <si>
    <t>HERITAGE FARM GRAPESEED OIL 500ML</t>
  </si>
  <si>
    <t>HAPPY FAMILY CKN RICE CHILLI SAUCE 230G</t>
  </si>
  <si>
    <t>SOFTESS 100% PURE WATER BABYWIPES 3X80S</t>
  </si>
  <si>
    <t>HOMENIKS JUMBO L/CAP 46S(B'FLY-BLOS)</t>
  </si>
  <si>
    <t xml:space="preserve">T/BITES ROASTED CHICKEN THIGH 450G  </t>
  </si>
  <si>
    <t xml:space="preserve">T/BITES GARLIC BREAD(ORIGINAL)250G  </t>
  </si>
  <si>
    <t xml:space="preserve">T/BITES TEMPURA FISH NUGGET 400G </t>
  </si>
  <si>
    <t xml:space="preserve">T/BITES B/TARTAR FISH NUGGET 400G  </t>
  </si>
  <si>
    <t xml:space="preserve">T/BITES B/SALT&amp;B'PER F/FILLET(2S)350G </t>
  </si>
  <si>
    <r>
      <t>T/BITES JAPANESE STYLE PRAWN GYOZA 200G</t>
    </r>
    <r>
      <rPr>
        <sz val="12"/>
        <color indexed="10"/>
        <rFont val="Calibri"/>
        <family val="2"/>
      </rPr>
      <t xml:space="preserve"> </t>
    </r>
  </si>
  <si>
    <r>
      <t>H/FARM STARFRUIT JUICE 480ML</t>
    </r>
    <r>
      <rPr>
        <sz val="12"/>
        <color indexed="10"/>
        <rFont val="Calibri"/>
        <family val="2"/>
      </rPr>
      <t xml:space="preserve"> </t>
    </r>
  </si>
  <si>
    <t xml:space="preserve">H/FARM RED S'CANE&amp;W'CHESTNUT 480ML </t>
  </si>
  <si>
    <t xml:space="preserve">H/FARM PLUM&amp;PASSION FRUIT 480ML </t>
  </si>
  <si>
    <t xml:space="preserve">H/FARM GOLDEN PEAR&amp;ALOE VERA 480ML </t>
  </si>
  <si>
    <t>BAKE FOR YOU PEANUT BUTTER CREAMY 510G</t>
  </si>
  <si>
    <t>H/FAMILY GLUTINOUS RICE 1KG</t>
  </si>
  <si>
    <t>HERITAGE FARM DRIED PRUNES 300G</t>
  </si>
  <si>
    <t>Dried Fruit</t>
  </si>
  <si>
    <t>POWERPLUS AB HANDWASH COOL MINT 3X250ML</t>
  </si>
  <si>
    <t xml:space="preserve">HOMENIKS PREMIUM LIQ DETERG(S.COL)3KG  </t>
  </si>
  <si>
    <t xml:space="preserve">HOMENIKS PREMIUM LIQ DETERG(P.WASH)3KG </t>
  </si>
  <si>
    <t xml:space="preserve">HOMENIKS PREMIUM LIQ DETERG(U.C)REF1.6KG  </t>
  </si>
  <si>
    <t>T/BITES FRIED CHICKEN STEAK 800G</t>
  </si>
  <si>
    <t>T/BITES BREADED FISH CHIP 450G</t>
  </si>
  <si>
    <t xml:space="preserve">TASTY BITES FRIED BEAN CURD SHEET 150G  </t>
  </si>
  <si>
    <t xml:space="preserve">HAPPY FAMILY SOY MILK DRINK 300ML  </t>
  </si>
  <si>
    <r>
      <t xml:space="preserve">HAPPY FAMILY SOY MILK DRINK OAT 300ML </t>
    </r>
    <r>
      <rPr>
        <sz val="12"/>
        <color indexed="10"/>
        <rFont val="Calibri"/>
        <family val="2"/>
      </rPr>
      <t xml:space="preserve"> </t>
    </r>
  </si>
  <si>
    <r>
      <t>BAKE FOR YOU XO KAYA(LESS SUGAR)410G</t>
    </r>
    <r>
      <rPr>
        <b/>
        <sz val="12"/>
        <color indexed="10"/>
        <rFont val="Calibri"/>
        <family val="2"/>
      </rPr>
      <t xml:space="preserve"> </t>
    </r>
  </si>
  <si>
    <t>8888626157283</t>
  </si>
  <si>
    <t>ROYAL G/GRAIN MIXED RED C/RICE 2.5KG</t>
  </si>
  <si>
    <t>HAPPY FAMILY 3 MIXED CARGO RICE 1.8KG</t>
  </si>
  <si>
    <t>H/FAMILY CANOLA OIL 3L</t>
  </si>
  <si>
    <t>8888626168791</t>
  </si>
  <si>
    <t>H/FAMILY FRIED DACE(XO SPICY)184G</t>
  </si>
  <si>
    <t>SOFTESS FACIAL PUFFS 200S(SIDE SEALED)</t>
  </si>
  <si>
    <t>SOFTESS 3IN1 COTTON BUDS 240SPAPERSTICK</t>
  </si>
  <si>
    <t>Mask</t>
  </si>
  <si>
    <t xml:space="preserve">Toilet Roll </t>
  </si>
  <si>
    <t>Tissue</t>
  </si>
  <si>
    <t>HOMENIKS PREMIUM LIQ DET(S.COL)REF 1.6KG</t>
  </si>
  <si>
    <t>HOMENIKS MT I/KILLER SPRAY-F/ACT 2X625ML</t>
  </si>
  <si>
    <t>HOMENIKS DISHWASHING LIQ(CITRUS) 1.1L+RF</t>
  </si>
  <si>
    <t>8888626101927</t>
  </si>
  <si>
    <t>8888626129075</t>
  </si>
  <si>
    <t>Nuts</t>
  </si>
  <si>
    <t>8888626150383</t>
  </si>
  <si>
    <t>HERITAGE FARM MACADAMIA AND CASHEW NUTS 150G</t>
  </si>
  <si>
    <t>8888626150376</t>
  </si>
  <si>
    <t>HERITAGE FARM WALNUTS AND CASHEW NUTS 150G</t>
  </si>
  <si>
    <t>HERITAGE FARM ALMOND&amp;CASHEW NUT 150G</t>
  </si>
  <si>
    <t>HERITAGE FARM PREMIUM MIXED NUTS 150G</t>
  </si>
  <si>
    <t>8888626149950</t>
  </si>
  <si>
    <t>8888626150284</t>
  </si>
  <si>
    <t xml:space="preserve">Battery </t>
  </si>
  <si>
    <t>HOMENIKS DEHUMIDIFIER (LAV) 8X720ML</t>
  </si>
  <si>
    <t>8888626149806</t>
  </si>
  <si>
    <t>8888626143897</t>
  </si>
  <si>
    <t>HOMENIKS ANTISEPTIC GERMICIDE 750ML</t>
  </si>
  <si>
    <t>Germicide</t>
  </si>
  <si>
    <t>SOFTESS P/P K/TOWEL 8X60S(SFR)</t>
  </si>
  <si>
    <t>AVIVAR CKN MIDJOINT WING 2KG</t>
  </si>
  <si>
    <t>SEARA FRZ CKN WINGS 2KG</t>
  </si>
  <si>
    <t>H/FAMILY POPCORN CHICKEN 450G</t>
  </si>
  <si>
    <t xml:space="preserve">T/BITES FRIED CKN MID WINGS 380G </t>
  </si>
  <si>
    <t>TASTY BITES CHICKEN KARAAGE 450G</t>
  </si>
  <si>
    <t>8888626029528/ 8888626608778</t>
  </si>
  <si>
    <t>8888626029535/ 8888626608761</t>
  </si>
  <si>
    <t>T/BITES SMOKED DUCK BREAST 500G</t>
  </si>
  <si>
    <r>
      <t>T/BITES CRINKLE CUT FRENCH FRIES 1KG</t>
    </r>
    <r>
      <rPr>
        <sz val="12"/>
        <color indexed="10"/>
        <rFont val="Calibri"/>
        <family val="2"/>
      </rPr>
      <t xml:space="preserve"> (NEW ARRIVAL)</t>
    </r>
  </si>
  <si>
    <r>
      <t xml:space="preserve">T/BITES SHOESTRING FRENCH FRIES 1KG  </t>
    </r>
    <r>
      <rPr>
        <sz val="12"/>
        <color indexed="10"/>
        <rFont val="Calibri"/>
        <family val="2"/>
      </rPr>
      <t>(NEW ARRIVAL)</t>
    </r>
  </si>
  <si>
    <r>
      <t xml:space="preserve">T/BITES CKN BREAST(SWEET&amp;SPICY)5S 325G </t>
    </r>
    <r>
      <rPr>
        <sz val="12"/>
        <color indexed="10"/>
        <rFont val="Calibri"/>
        <family val="2"/>
      </rPr>
      <t>(NEW ARRIVAL)</t>
    </r>
  </si>
  <si>
    <r>
      <t>T/BITES R/HONEY CKN MID WINGS 380G</t>
    </r>
    <r>
      <rPr>
        <sz val="12"/>
        <color indexed="10"/>
        <rFont val="Calibri"/>
        <family val="2"/>
      </rPr>
      <t xml:space="preserve"> (NEW ARRIVAL)</t>
    </r>
  </si>
  <si>
    <t xml:space="preserve">HERITAGE FARM UHT LOW FAT MILK 1L </t>
  </si>
  <si>
    <t>H/FAMILY SWEETENED CREAMER 1KG</t>
  </si>
  <si>
    <t xml:space="preserve">HERITAGE FARM QUICK OAT 1KG </t>
  </si>
  <si>
    <t>8888626103341</t>
  </si>
  <si>
    <t>BAKE FOR YOU ENRICHED W/M W/BREAD 400G</t>
  </si>
  <si>
    <t xml:space="preserve">HERITAGE FARM THAI VERMICELLI 500G </t>
  </si>
  <si>
    <t xml:space="preserve">HERITAGE FARM THAI VERMICELLI 375G </t>
  </si>
  <si>
    <t>ROYAL G/GRAIN MIXED JASMINE RICE 2.5KG</t>
  </si>
  <si>
    <t>HERITAGE FARM SUNFLOWER&amp;OLIVE OIL 2L</t>
  </si>
  <si>
    <t>HERITAGE FARM PRE CANOLA S.FLOWER OIL 2L</t>
  </si>
  <si>
    <t>H/FAMILY CHICKEN CURRY W/POTATOES 300G</t>
  </si>
  <si>
    <t>H/FAMILY PRE LSL SOY SAUCE 500ML</t>
  </si>
  <si>
    <r>
      <t>H/FAMILY PRE DARK SOY SAUCE 500ML</t>
    </r>
    <r>
      <rPr>
        <sz val="12"/>
        <color indexed="10"/>
        <rFont val="Calibri"/>
        <family val="2"/>
      </rPr>
      <t xml:space="preserve"> </t>
    </r>
  </si>
  <si>
    <t xml:space="preserve">H/FAMILY PRE OYSTER SAUCE 550G </t>
  </si>
  <si>
    <r>
      <t xml:space="preserve">H/FAMILY MUSH.VEG OYSTER SAUCE 600G </t>
    </r>
    <r>
      <rPr>
        <sz val="12"/>
        <color indexed="10"/>
        <rFont val="Calibri"/>
        <family val="2"/>
      </rPr>
      <t xml:space="preserve"> (NEW ARRIVAL) </t>
    </r>
  </si>
  <si>
    <t>H/FAMILY LEMON DELITE BISCUITS 125G</t>
  </si>
  <si>
    <t>HERITAGE FARM DRIED MANGO 100G</t>
  </si>
  <si>
    <t>HERITAGE FARM M/NUT(CBERRY&amp;RAIS)150G</t>
  </si>
  <si>
    <t>HERITAGE FARM DELIGHT MIX 100G</t>
  </si>
  <si>
    <t>HERITAGE FARM PEANUT CRACKERS 100G</t>
  </si>
  <si>
    <r>
      <t>H/FAMILY PEANUT BUTTER SANDWICH 290G</t>
    </r>
    <r>
      <rPr>
        <sz val="12"/>
        <color indexed="10"/>
        <rFont val="Calibri"/>
        <family val="2"/>
      </rPr>
      <t xml:space="preserve">  (NEW ARRIVAL)</t>
    </r>
  </si>
  <si>
    <r>
      <t xml:space="preserve">HERITAGE FARM ORG POPCORN 180G(N) </t>
    </r>
    <r>
      <rPr>
        <sz val="12"/>
        <color indexed="10"/>
        <rFont val="Calibri"/>
        <family val="2"/>
      </rPr>
      <t>(NEW ARRIVAL)</t>
    </r>
  </si>
  <si>
    <r>
      <t>HERITAGE FARM CHEESE POPCORN 180G(N)  (</t>
    </r>
    <r>
      <rPr>
        <sz val="12"/>
        <color indexed="10"/>
        <rFont val="Calibri"/>
        <family val="2"/>
      </rPr>
      <t>NEW ARRIVAL)</t>
    </r>
  </si>
  <si>
    <r>
      <t xml:space="preserve">HERITAGE FARM CARAMEL POPCORN 180G(N)  </t>
    </r>
    <r>
      <rPr>
        <sz val="12"/>
        <color indexed="10"/>
        <rFont val="Calibri"/>
        <family val="2"/>
      </rPr>
      <t>(NEW ARRIVAL)</t>
    </r>
  </si>
  <si>
    <t>SOFTESS SOFTPACK TISS 3PLY 10X140S(SFR)</t>
  </si>
  <si>
    <t>SOFTESS P/P HANGING F/TISSUES 4PLY 320S</t>
  </si>
  <si>
    <t>SOFTESS P/P BOX TISSUE 4PLY 5X100S</t>
  </si>
  <si>
    <t>Adult Diaper</t>
  </si>
  <si>
    <r>
      <t xml:space="preserve">SOFTESS BAMBOO SOFTPACK 4PLY 4X130S  </t>
    </r>
    <r>
      <rPr>
        <sz val="12"/>
        <color indexed="10"/>
        <rFont val="Calibri"/>
        <family val="2"/>
      </rPr>
      <t>(NEW ARRIVAL)</t>
    </r>
  </si>
  <si>
    <r>
      <t xml:space="preserve">SOFTESS P/P BR TIS 3PLY 3X1.8KG(GT) </t>
    </r>
    <r>
      <rPr>
        <sz val="12"/>
        <color indexed="10"/>
        <rFont val="Calibri"/>
        <family val="2"/>
      </rPr>
      <t>(NEW ARRIVAL)</t>
    </r>
  </si>
  <si>
    <r>
      <t xml:space="preserve">SOFTESS BAMBOO BR TIS 3PLY 10X220S </t>
    </r>
    <r>
      <rPr>
        <sz val="12"/>
        <color indexed="10"/>
        <rFont val="Calibri"/>
        <family val="2"/>
      </rPr>
      <t>(NEW ARRIVAL)</t>
    </r>
  </si>
  <si>
    <r>
      <t xml:space="preserve">SOFTESS PREMIUM BABY SLIM PANTS L 46S </t>
    </r>
    <r>
      <rPr>
        <sz val="12"/>
        <color indexed="10"/>
        <rFont val="Calibri"/>
        <family val="2"/>
      </rPr>
      <t>(NEW ARRIVAL)</t>
    </r>
  </si>
  <si>
    <r>
      <t xml:space="preserve">SOFTESS PREMIUM BABY SLIM PANTS XL 42S </t>
    </r>
    <r>
      <rPr>
        <sz val="12"/>
        <color indexed="10"/>
        <rFont val="Calibri"/>
        <family val="2"/>
      </rPr>
      <t>(NEW ARRIVAL)</t>
    </r>
  </si>
  <si>
    <r>
      <t xml:space="preserve">SOFTESS PREMIUM BABY SLIM PANTS XXL 40S </t>
    </r>
    <r>
      <rPr>
        <sz val="12"/>
        <color indexed="10"/>
        <rFont val="Calibri"/>
        <family val="2"/>
      </rPr>
      <t>(NEW ARRIVAL)</t>
    </r>
  </si>
  <si>
    <t xml:space="preserve">POWERPLUS 3PLY MEDICAL MASK 50S-BLUE </t>
  </si>
  <si>
    <t>SOFTESS CLASSIC ADULT PANTS XL 15S</t>
  </si>
  <si>
    <t>SOFTESS CLASSIC ADULT PANTS L 16S</t>
  </si>
  <si>
    <t>SOFTESS CLASSIC ADULT PANTS M 18S</t>
  </si>
  <si>
    <t>SOFTESS TAD HANGING K/TOWEL 2PLY 180S</t>
  </si>
  <si>
    <t>HOMENIKS DISHWASH LIQ REF(MIX) 4X600ML</t>
  </si>
  <si>
    <t xml:space="preserve">HOMENIKS M/PURPOSE CLEANER(CITRUS) 2L </t>
  </si>
  <si>
    <t xml:space="preserve">HOMENIKS M/PURPOSE CLEANER(APPLE) 2L </t>
  </si>
  <si>
    <t xml:space="preserve"> 8888626149684</t>
  </si>
  <si>
    <t>HOMENIKS H/DUTY CELLULOSE SCOURER-3S</t>
  </si>
  <si>
    <t>HOMENIKS SCOURER PAD-5S</t>
  </si>
  <si>
    <t xml:space="preserve"> 8888626149660</t>
  </si>
  <si>
    <t>HOMENIKS SPONGE SCOURER REGULAR-4S</t>
  </si>
  <si>
    <t xml:space="preserve">HOMENIKS ALKALINE BATTERY 1.5V AA4 </t>
  </si>
  <si>
    <r>
      <t>HOMENIKS ALKALINE BATTERY 1.5V AAA4</t>
    </r>
    <r>
      <rPr>
        <sz val="12"/>
        <color indexed="10"/>
        <rFont val="Calibri"/>
        <family val="2"/>
      </rPr>
      <t xml:space="preserve"> </t>
    </r>
  </si>
  <si>
    <t>8888626177496</t>
  </si>
  <si>
    <t>8888626177502</t>
  </si>
  <si>
    <t xml:space="preserve">Dehumidifier </t>
  </si>
  <si>
    <t>8888626149677</t>
  </si>
  <si>
    <t>HOMENIKS 6IN1 LAUNDRY CAPSULES(BLOOS)80S</t>
  </si>
  <si>
    <t>HOMENIKS 6IN1 LAUNDRY CAPSULES(LAV) 80S</t>
  </si>
  <si>
    <t>H/FAMILY MACKEREL IN TOMATO SAUCE 425G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</si>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</sst>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;\-&quot;$&quot;#,##0.00"/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yyyy\-mm\-dd"/>
    <numFmt numFmtId="173" formatCode="#,##0_ ;[Red]\-#,##0\ "/>
    <numFmt numFmtId="174" formatCode="&quot;$&quot;#,##0.00"/>
  </numFmts>
  <fonts count="25" x14ac:knownFonts="1"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b/>
      <sz val="12"/>
      <color indexed="10"/>
      <name val="Calibri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sz val="12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71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" fillId="0" borderId="0">
      <alignment vertical="center"/>
    </xf>
    <xf numFmtId="0" fontId="2" fillId="0" borderId="0">
      <protection locked="0"/>
    </xf>
  </cellStyleXfs>
  <cellXfs count="431">
    <xf numFmtId="0" fontId="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73" fontId="18" fillId="0" borderId="0" xfId="0" applyNumberFormat="1" applyFont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173" fontId="19" fillId="0" borderId="1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4" fontId="21" fillId="0" borderId="0" xfId="0" applyNumberFormat="1" applyFont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7" fontId="21" fillId="0" borderId="12" xfId="0" applyNumberFormat="1" applyFont="1" applyBorder="1" applyAlignment="1">
      <alignment horizontal="center" vertical="center"/>
    </xf>
    <xf numFmtId="7" fontId="20" fillId="0" borderId="1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8" fillId="0" borderId="0" xfId="0" applyNumberFormat="1" applyFont="1" applyAlignment="1">
      <alignment vertical="center"/>
    </xf>
    <xf numFmtId="1" fontId="21" fillId="0" borderId="0" xfId="0" applyNumberFormat="1" applyFont="1" applyAlignment="1">
      <alignment vertical="center"/>
    </xf>
    <xf numFmtId="172" fontId="21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1" fillId="0" borderId="1" xfId="6" applyFont="1" applyBorder="1">
      <alignment vertical="center"/>
    </xf>
    <xf numFmtId="0" fontId="20" fillId="2" borderId="12" xfId="0" quotePrefix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174" fontId="21" fillId="0" borderId="1" xfId="0" applyNumberFormat="1" applyFont="1" applyFill="1" applyBorder="1" applyAlignment="1">
      <alignment horizontal="center" vertical="center"/>
    </xf>
    <xf numFmtId="173" fontId="18" fillId="0" borderId="1" xfId="0" applyNumberFormat="1" applyFont="1" applyFill="1" applyBorder="1" applyAlignment="1">
      <alignment horizontal="center" vertical="center"/>
    </xf>
    <xf numFmtId="173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" fontId="21" fillId="0" borderId="2" xfId="0" applyNumberFormat="1" applyFont="1" applyFill="1" applyBorder="1" applyAlignment="1">
      <alignment horizontal="center" vertical="center" wrapText="1"/>
    </xf>
    <xf numFmtId="2" fontId="21" fillId="0" borderId="1" xfId="7" applyNumberFormat="1" applyFont="1" applyFill="1" applyBorder="1" applyAlignment="1" applyProtection="1">
      <alignment horizontal="justify" vertical="center"/>
    </xf>
    <xf numFmtId="7" fontId="21" fillId="0" borderId="1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vertical="center" wrapText="1"/>
    </xf>
    <xf numFmtId="174" fontId="21" fillId="0" borderId="3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" fontId="21" fillId="0" borderId="1" xfId="7" applyNumberFormat="1" applyFont="1" applyFill="1" applyBorder="1" applyAlignment="1" applyProtection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1" fontId="21" fillId="3" borderId="1" xfId="0" applyNumberFormat="1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14" xfId="0" applyFont="1" applyBorder="1" applyAlignment="1">
      <alignment horizontal="center" vertical="center" wrapText="1"/>
    </xf>
    <xf numFmtId="0" fontId="21" fillId="0" borderId="0" xfId="6" applyFont="1" applyBorder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21" fillId="0" borderId="3" xfId="0" applyNumberFormat="1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173" fontId="18" fillId="0" borderId="0" xfId="0" applyNumberFormat="1" applyFont="1" applyFill="1" applyAlignment="1">
      <alignment horizontal="center" vertical="center"/>
    </xf>
    <xf numFmtId="0" fontId="21" fillId="0" borderId="12" xfId="0" applyFont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vertical="center"/>
    </xf>
    <xf numFmtId="3" fontId="21" fillId="0" borderId="1" xfId="0" applyNumberFormat="1" applyFont="1" applyFill="1" applyBorder="1" applyAlignment="1">
      <alignment horizontal="center" vertical="center"/>
    </xf>
    <xf numFmtId="7" fontId="20" fillId="0" borderId="12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173" fontId="18" fillId="4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21" fillId="0" borderId="4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74" fontId="21" fillId="4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170" fontId="21" fillId="0" borderId="12" xfId="0" applyNumberFormat="1" applyFont="1" applyFill="1" applyBorder="1" applyAlignment="1">
      <alignment horizontal="center" vertical="center"/>
    </xf>
    <xf numFmtId="171" fontId="18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1" fontId="21" fillId="0" borderId="6" xfId="0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" fontId="2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1" xfId="0" quotePrefix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7" fontId="20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7" fontId="21" fillId="0" borderId="19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7" fontId="21" fillId="0" borderId="2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170" fontId="18" fillId="0" borderId="0" xfId="2" applyFont="1" applyFill="1" applyAlignment="1">
      <alignment vertical="center"/>
    </xf>
    <xf numFmtId="170" fontId="22" fillId="0" borderId="0" xfId="0" applyNumberFormat="1" applyFont="1" applyFill="1" applyAlignment="1">
      <alignment vertical="center"/>
    </xf>
    <xf numFmtId="171" fontId="18" fillId="0" borderId="0" xfId="1" applyFont="1" applyFill="1" applyAlignment="1">
      <alignment vertical="center"/>
    </xf>
    <xf numFmtId="170" fontId="18" fillId="0" borderId="0" xfId="0" applyNumberFormat="1" applyFont="1" applyFill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173" fontId="19" fillId="0" borderId="0" xfId="0" applyNumberFormat="1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173" fontId="19" fillId="0" borderId="1" xfId="0" applyNumberFormat="1" applyFont="1" applyBorder="1" applyAlignment="1">
      <alignment horizontal="center" vertical="center" wrapText="1"/>
    </xf>
    <xf numFmtId="7" fontId="21" fillId="0" borderId="14" xfId="0" applyNumberFormat="1" applyFont="1" applyFill="1" applyBorder="1" applyAlignment="1">
      <alignment horizontal="center" vertical="center"/>
    </xf>
    <xf numFmtId="7" fontId="21" fillId="0" borderId="1" xfId="0" applyNumberFormat="1" applyFont="1" applyFill="1" applyBorder="1" applyAlignment="1">
      <alignment horizontal="center" vertical="center"/>
    </xf>
    <xf numFmtId="7" fontId="20" fillId="0" borderId="20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Border="1" applyAlignment="1">
      <alignment horizontal="left" vertical="center" wrapText="1"/>
    </xf>
    <xf numFmtId="170" fontId="23" fillId="0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19" xfId="0" applyFont="1" applyFill="1" applyBorder="1" applyAlignment="1">
      <alignment horizontal="center" vertical="center" wrapText="1"/>
    </xf>
    <xf numFmtId="7" fontId="20" fillId="0" borderId="22" xfId="0" applyNumberFormat="1" applyFont="1" applyFill="1" applyBorder="1" applyAlignment="1">
      <alignment horizontal="center" vertical="center"/>
    </xf>
    <xf numFmtId="1" fontId="21" fillId="0" borderId="4" xfId="0" quotePrefix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18" fillId="0" borderId="0" xfId="0" applyNumberFormat="1" applyFont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center" vertical="center"/>
    </xf>
    <xf numFmtId="1" fontId="21" fillId="0" borderId="1" xfId="0" applyNumberFormat="1" applyFont="1" applyFill="1" applyBorder="1" applyAlignment="1">
      <alignment horizontal="center" vertical="center"/>
    </xf>
    <xf numFmtId="1" fontId="18" fillId="0" borderId="0" xfId="0" applyNumberFormat="1" applyFont="1" applyFill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73" fontId="21" fillId="0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3" fontId="18" fillId="0" borderId="0" xfId="0" applyNumberFormat="1" applyFont="1" applyFill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2" fontId="21" fillId="0" borderId="1" xfId="7" applyNumberFormat="1" applyFont="1" applyBorder="1" applyAlignment="1" applyProtection="1">
      <alignment horizontal="justify" vertical="center"/>
    </xf>
    <xf numFmtId="1" fontId="21" fillId="0" borderId="1" xfId="7" applyNumberFormat="1" applyFont="1" applyBorder="1" applyAlignment="1" applyProtection="1">
      <alignment horizontal="center" vertical="center"/>
    </xf>
    <xf numFmtId="0" fontId="21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" fontId="21" fillId="0" borderId="4" xfId="0" applyNumberFormat="1" applyFont="1" applyBorder="1" applyAlignment="1">
      <alignment horizontal="center" vertical="center" wrapText="1"/>
    </xf>
    <xf numFmtId="0" fontId="21" fillId="0" borderId="7" xfId="0" quotePrefix="1" applyFont="1" applyBorder="1" applyAlignment="1">
      <alignment horizontal="center" vertical="center" wrapText="1"/>
    </xf>
    <xf numFmtId="2" fontId="21" fillId="0" borderId="3" xfId="7" applyNumberFormat="1" applyFont="1" applyBorder="1" applyAlignment="1" applyProtection="1">
      <alignment horizontal="justify" vertical="center"/>
    </xf>
    <xf numFmtId="1" fontId="21" fillId="0" borderId="3" xfId="7" applyNumberFormat="1" applyFont="1" applyBorder="1" applyAlignment="1" applyProtection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2" xfId="0" quotePrefix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 wrapText="1"/>
    </xf>
    <xf numFmtId="173" fontId="19" fillId="0" borderId="14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/>
    </xf>
    <xf numFmtId="170" fontId="18" fillId="0" borderId="0" xfId="2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6" fontId="21" fillId="0" borderId="0" xfId="0" applyNumberFormat="1" applyFont="1" applyFill="1" applyAlignment="1">
      <alignment horizontal="center" vertical="center"/>
    </xf>
    <xf numFmtId="170" fontId="21" fillId="0" borderId="0" xfId="6" applyNumberFormat="1" applyFont="1" applyBorder="1">
      <alignment vertical="center"/>
    </xf>
    <xf numFmtId="171" fontId="21" fillId="0" borderId="0" xfId="1" applyFont="1" applyBorder="1" applyAlignment="1">
      <alignment vertical="center"/>
    </xf>
    <xf numFmtId="171" fontId="18" fillId="0" borderId="0" xfId="0" applyNumberFormat="1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5" xfId="0" applyFont="1" applyFill="1" applyBorder="1" applyAlignment="1">
      <alignment horizontal="left" vertical="center"/>
    </xf>
    <xf numFmtId="0" fontId="21" fillId="0" borderId="4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7" fontId="21" fillId="0" borderId="1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1" fontId="18" fillId="0" borderId="3" xfId="0" applyNumberFormat="1" applyFont="1" applyFill="1" applyBorder="1" applyAlignment="1">
      <alignment horizontal="center" vertical="center"/>
    </xf>
    <xf numFmtId="0" fontId="21" fillId="0" borderId="3" xfId="0" quotePrefix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3" xfId="0" applyFont="1" applyFill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8" fillId="0" borderId="5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173" fontId="21" fillId="0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4" xfId="0" applyFont="1" applyBorder="1" applyAlignment="1">
      <alignment horizontal="center" vertical="center" wrapText="1"/>
    </xf>
    <xf numFmtId="7" fontId="21" fillId="0" borderId="13" xfId="0" applyNumberFormat="1" applyFont="1" applyFill="1" applyBorder="1" applyAlignment="1">
      <alignment horizontal="center" vertical="center"/>
    </xf>
    <xf numFmtId="170" fontId="24" fillId="0" borderId="0" xfId="0" applyNumberFormat="1" applyFont="1" applyFill="1" applyAlignment="1">
      <alignment vertical="center"/>
    </xf>
    <xf numFmtId="1" fontId="21" fillId="0" borderId="6" xfId="0" applyNumberFormat="1" applyFont="1" applyBorder="1" applyAlignment="1">
      <alignment horizontal="center" vertical="center" wrapText="1"/>
    </xf>
    <xf numFmtId="1" fontId="21" fillId="0" borderId="5" xfId="0" applyNumberFormat="1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70" fontId="18" fillId="0" borderId="4" xfId="2" applyFont="1" applyBorder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70" fontId="18" fillId="0" borderId="0" xfId="0" applyNumberFormat="1" applyFont="1" applyAlignment="1">
      <alignment vertical="center"/>
    </xf>
    <xf numFmtId="171" fontId="18" fillId="0" borderId="1" xfId="1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1" fontId="21" fillId="0" borderId="1" xfId="0" quotePrefix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171" fontId="18" fillId="0" borderId="0" xfId="1" applyFont="1" applyAlignment="1">
      <alignment horizontal="center" vertical="center"/>
    </xf>
    <xf numFmtId="174" fontId="21" fillId="5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170" fontId="18" fillId="0" borderId="1" xfId="2" applyFont="1" applyBorder="1" applyAlignment="1">
      <alignment vertical="center"/>
    </xf>
    <xf numFmtId="17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21" fillId="0" borderId="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174" fontId="21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71" fontId="18" fillId="0" borderId="1" xfId="1" applyFont="1" applyFill="1" applyBorder="1" applyAlignment="1">
      <alignment vertical="center"/>
    </xf>
    <xf numFmtId="173" fontId="21" fillId="0" borderId="1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170" fontId="21" fillId="0" borderId="25" xfId="0" applyNumberFormat="1" applyFont="1" applyFill="1" applyBorder="1" applyAlignment="1">
      <alignment horizontal="center" vertical="center"/>
    </xf>
    <xf numFmtId="170" fontId="20" fillId="0" borderId="20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70" fontId="21" fillId="0" borderId="4" xfId="0" applyNumberFormat="1" applyFont="1" applyFill="1" applyBorder="1" applyAlignment="1">
      <alignment horizontal="center" vertical="center"/>
    </xf>
    <xf numFmtId="170" fontId="18" fillId="0" borderId="0" xfId="2" applyFont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1" fontId="21" fillId="4" borderId="3" xfId="0" applyNumberFormat="1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vertical="center"/>
    </xf>
    <xf numFmtId="0" fontId="21" fillId="4" borderId="5" xfId="0" applyFont="1" applyFill="1" applyBorder="1" applyAlignment="1">
      <alignment horizontal="center" vertical="center"/>
    </xf>
    <xf numFmtId="174" fontId="21" fillId="4" borderId="3" xfId="0" applyNumberFormat="1" applyFont="1" applyFill="1" applyBorder="1" applyAlignment="1">
      <alignment horizontal="center" vertical="center"/>
    </xf>
    <xf numFmtId="173" fontId="21" fillId="4" borderId="1" xfId="0" applyNumberFormat="1" applyFont="1" applyFill="1" applyBorder="1" applyAlignment="1">
      <alignment horizontal="center" vertical="center"/>
    </xf>
    <xf numFmtId="170" fontId="15" fillId="0" borderId="0" xfId="2" applyFont="1" applyAlignment="1">
      <alignment vertical="center"/>
    </xf>
    <xf numFmtId="1" fontId="21" fillId="0" borderId="7" xfId="0" applyNumberFormat="1" applyFont="1" applyFill="1" applyBorder="1" applyAlignment="1">
      <alignment horizontal="center" vertical="center" wrapText="1"/>
    </xf>
    <xf numFmtId="170" fontId="18" fillId="0" borderId="8" xfId="2" applyFont="1" applyFill="1" applyBorder="1" applyAlignment="1">
      <alignment vertical="center"/>
    </xf>
    <xf numFmtId="1" fontId="21" fillId="4" borderId="2" xfId="0" applyNumberFormat="1" applyFont="1" applyFill="1" applyBorder="1" applyAlignment="1">
      <alignment horizontal="center" vertical="center" wrapText="1"/>
    </xf>
    <xf numFmtId="7" fontId="21" fillId="4" borderId="12" xfId="0" applyNumberFormat="1" applyFont="1" applyFill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173" fontId="21" fillId="4" borderId="2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21" fillId="4" borderId="1" xfId="0" quotePrefix="1" applyFont="1" applyFill="1" applyBorder="1" applyAlignment="1">
      <alignment horizontal="center" vertical="center" wrapText="1"/>
    </xf>
    <xf numFmtId="7" fontId="21" fillId="4" borderId="20" xfId="0" applyNumberFormat="1" applyFont="1" applyFill="1" applyBorder="1" applyAlignment="1">
      <alignment horizontal="center" vertical="center"/>
    </xf>
    <xf numFmtId="174" fontId="18" fillId="0" borderId="0" xfId="1" applyNumberFormat="1" applyFont="1" applyAlignment="1">
      <alignment vertical="center"/>
    </xf>
    <xf numFmtId="174" fontId="18" fillId="0" borderId="0" xfId="1" applyNumberFormat="1" applyFont="1" applyFill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0" fillId="0" borderId="2" xfId="6" applyFont="1" applyBorder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0" fillId="0" borderId="1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4" fontId="19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vertical="center"/>
    </xf>
    <xf numFmtId="0" fontId="21" fillId="0" borderId="27" xfId="0" applyFont="1" applyFill="1" applyBorder="1" applyAlignment="1">
      <alignment vertical="center"/>
    </xf>
    <xf numFmtId="0" fontId="21" fillId="0" borderId="36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</cellXfs>
  <cellStyles count="8">
    <cellStyle name="Comma" xfId="1" builtinId="3"/>
    <cellStyle name="Currency" xfId="2" builtinId="4"/>
    <cellStyle name="Normal" xfId="0" builtinId="0"/>
    <cellStyle name="Normal 2" xfId="3" xr:uid="{6DB9BE65-0EB9-4B50-9E1D-36F10A6E97D2}"/>
    <cellStyle name="Normal 3" xfId="4" xr:uid="{C8C71FF4-51B9-414F-9BFF-27C6C82D4C06}"/>
    <cellStyle name="Normal 4" xfId="5" xr:uid="{5E54E35C-4686-4B9D-8ECD-27EE4B36F596}"/>
    <cellStyle name="Normal 5" xfId="6" xr:uid="{E6C395C3-EA41-48E9-B37E-8115843D0C28}"/>
    <cellStyle name="Normal_CNY_ Cookies" xfId="7" xr:uid="{12FD2707-912A-4E7A-ADAA-B07FCF66C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CA25-44CA-4456-BD11-8705A68ADF23}">
  <dimension ref="A1:G99"/>
  <sheetViews>
    <sheetView zoomScale="145" zoomScaleNormal="145" workbookViewId="0">
      <selection activeCell="A14" sqref="A14:B14"/>
    </sheetView>
  </sheetViews>
  <sheetFormatPr defaultColWidth="14.42578125" defaultRowHeight="15" customHeight="1" x14ac:dyDescent="0.25"/>
  <cols>
    <col min="1" max="1" width="6" style="1" customWidth="1"/>
    <col min="2" max="2" width="27" style="1" customWidth="1"/>
    <col min="3" max="3" width="29.85546875" style="1" customWidth="1"/>
    <col min="4" max="4" width="13.7109375" style="1" customWidth="1"/>
    <col min="5" max="5" width="11" style="1" customWidth="1"/>
    <col min="6" max="6" width="8.7109375" style="1" customWidth="1"/>
    <col min="7" max="7" width="30.5703125" style="1" customWidth="1"/>
    <col min="8" max="9" width="9.140625" style="1" customWidth="1"/>
    <col min="10" max="16384" width="14.42578125" style="1"/>
  </cols>
  <sheetData>
    <row r="1" spans="1:7" ht="15.75" x14ac:dyDescent="0.25">
      <c r="A1" s="368" t="s">
        <v>0</v>
      </c>
      <c r="B1" s="369"/>
      <c r="C1" s="8" t="s">
        <v>1</v>
      </c>
      <c r="D1" s="8" t="s">
        <v>2</v>
      </c>
    </row>
    <row r="2" spans="1:7" ht="15.6" customHeight="1" x14ac:dyDescent="0.25">
      <c r="A2" s="374" t="s">
        <v>3</v>
      </c>
      <c r="B2" s="369"/>
      <c r="C2" s="64" t="s">
        <v>129</v>
      </c>
      <c r="D2" s="20">
        <v>46131</v>
      </c>
      <c r="F2" s="370" t="s">
        <v>1</v>
      </c>
      <c r="G2" s="371"/>
    </row>
    <row r="3" spans="1:7" ht="15.75" x14ac:dyDescent="0.25">
      <c r="A3" s="374" t="s">
        <v>4</v>
      </c>
      <c r="B3" s="369"/>
      <c r="C3" s="23"/>
      <c r="D3" s="20">
        <v>46126</v>
      </c>
      <c r="F3" s="22" t="s">
        <v>125</v>
      </c>
      <c r="G3" s="22" t="s">
        <v>126</v>
      </c>
    </row>
    <row r="4" spans="1:7" ht="15" customHeight="1" x14ac:dyDescent="0.25">
      <c r="F4" s="106" t="s">
        <v>127</v>
      </c>
      <c r="G4" s="106" t="s">
        <v>128</v>
      </c>
    </row>
    <row r="5" spans="1:7" ht="15.75" x14ac:dyDescent="0.25">
      <c r="A5" s="200" t="s">
        <v>5</v>
      </c>
      <c r="B5" s="21" t="s">
        <v>6</v>
      </c>
      <c r="C5" s="8" t="s">
        <v>7</v>
      </c>
      <c r="F5" s="22" t="s">
        <v>129</v>
      </c>
      <c r="G5" s="22" t="s">
        <v>130</v>
      </c>
    </row>
    <row r="6" spans="1:7" ht="15.75" x14ac:dyDescent="0.25">
      <c r="A6" s="183">
        <v>1</v>
      </c>
      <c r="B6" s="188" t="s">
        <v>8</v>
      </c>
      <c r="C6" s="107">
        <f>'Frozen Food'!J44</f>
        <v>16665.5</v>
      </c>
      <c r="D6" s="281"/>
      <c r="E6" s="157"/>
      <c r="F6" s="22" t="s">
        <v>31</v>
      </c>
      <c r="G6" s="22" t="s">
        <v>133</v>
      </c>
    </row>
    <row r="7" spans="1:7" ht="15.75" x14ac:dyDescent="0.25">
      <c r="A7" s="183">
        <v>2</v>
      </c>
      <c r="B7" s="188" t="s">
        <v>9</v>
      </c>
      <c r="C7" s="107">
        <f>Beverages!J28</f>
        <v>5217.2000000000007</v>
      </c>
      <c r="D7" s="281"/>
      <c r="E7" s="157"/>
      <c r="F7" s="22" t="s">
        <v>32</v>
      </c>
      <c r="G7" s="22" t="s">
        <v>33</v>
      </c>
    </row>
    <row r="8" spans="1:7" ht="15.75" x14ac:dyDescent="0.25">
      <c r="A8" s="183">
        <v>3</v>
      </c>
      <c r="B8" s="188" t="s">
        <v>10</v>
      </c>
      <c r="C8" s="107">
        <f>'Groceries &amp; Breakfast'!J30</f>
        <v>8402.16</v>
      </c>
      <c r="D8" s="281"/>
      <c r="E8" s="157"/>
      <c r="F8" s="54"/>
      <c r="G8" s="54"/>
    </row>
    <row r="9" spans="1:7" ht="15.75" x14ac:dyDescent="0.25">
      <c r="A9" s="183">
        <v>4</v>
      </c>
      <c r="B9" s="188" t="s">
        <v>13</v>
      </c>
      <c r="C9" s="107">
        <f>'Rice &amp; Oil'!J33</f>
        <v>18289.54</v>
      </c>
      <c r="D9" s="281"/>
      <c r="E9" s="157"/>
      <c r="F9" s="232"/>
      <c r="G9" s="231"/>
    </row>
    <row r="10" spans="1:7" ht="15.75" x14ac:dyDescent="0.25">
      <c r="A10" s="237">
        <v>5</v>
      </c>
      <c r="B10" s="188" t="s">
        <v>94</v>
      </c>
      <c r="C10" s="107">
        <f>'Canned Food &amp; Condiment'!J36</f>
        <v>4922.91</v>
      </c>
      <c r="D10" s="281"/>
      <c r="E10" s="157"/>
      <c r="F10" s="54"/>
      <c r="G10" s="54"/>
    </row>
    <row r="11" spans="1:7" ht="15.75" x14ac:dyDescent="0.25">
      <c r="A11" s="237">
        <v>6</v>
      </c>
      <c r="B11" s="253" t="s">
        <v>77</v>
      </c>
      <c r="C11" s="107">
        <f>'Snacks '!J32</f>
        <v>5211.5599999999995</v>
      </c>
      <c r="D11" s="281"/>
      <c r="E11" s="157"/>
    </row>
    <row r="12" spans="1:7" ht="15.75" x14ac:dyDescent="0.25">
      <c r="A12" s="324">
        <v>7</v>
      </c>
      <c r="B12" s="333" t="s">
        <v>12</v>
      </c>
      <c r="C12" s="334">
        <f>'Tissue &amp; Others'!J38</f>
        <v>17577.600000000002</v>
      </c>
      <c r="D12" s="281"/>
      <c r="E12" s="157"/>
    </row>
    <row r="13" spans="1:7" s="34" customFormat="1" ht="15.75" x14ac:dyDescent="0.25">
      <c r="A13" s="308">
        <v>8</v>
      </c>
      <c r="B13" s="302" t="s">
        <v>14</v>
      </c>
      <c r="C13" s="338">
        <f>'Cleaning Agent'!J42</f>
        <v>9200.5399999999991</v>
      </c>
      <c r="D13" s="281"/>
      <c r="E13" s="157"/>
      <c r="F13" s="1"/>
      <c r="G13" s="1"/>
    </row>
    <row r="14" spans="1:7" ht="15" customHeight="1" x14ac:dyDescent="0.25">
      <c r="A14" s="372" t="s">
        <v>16</v>
      </c>
      <c r="B14" s="373"/>
      <c r="C14" s="335">
        <f>SUM(C6:C13)</f>
        <v>85487.01</v>
      </c>
      <c r="D14" s="65"/>
      <c r="E14" s="137"/>
    </row>
    <row r="15" spans="1:7" ht="15" customHeight="1" x14ac:dyDescent="0.25">
      <c r="C15" s="138"/>
      <c r="D15" s="65"/>
      <c r="E15" s="137"/>
    </row>
    <row r="16" spans="1:7" ht="15" customHeight="1" x14ac:dyDescent="0.25">
      <c r="C16" s="139"/>
    </row>
    <row r="17" spans="3:3" ht="15" customHeight="1" x14ac:dyDescent="0.25">
      <c r="C17" s="233"/>
    </row>
    <row r="18" spans="3:3" ht="15" customHeight="1" x14ac:dyDescent="0.25">
      <c r="C18" s="294"/>
    </row>
    <row r="20" spans="3:3" ht="15.75" customHeight="1" x14ac:dyDescent="0.25"/>
    <row r="21" spans="3:3" ht="15.75" customHeight="1" x14ac:dyDescent="0.25"/>
    <row r="22" spans="3:3" ht="15.75" customHeight="1" x14ac:dyDescent="0.25"/>
    <row r="23" spans="3:3" ht="15.75" customHeight="1" x14ac:dyDescent="0.25"/>
    <row r="24" spans="3:3" ht="15.75" customHeight="1" x14ac:dyDescent="0.25"/>
    <row r="25" spans="3:3" ht="15.75" customHeight="1" x14ac:dyDescent="0.25"/>
    <row r="26" spans="3:3" ht="15.75" customHeight="1" x14ac:dyDescent="0.25"/>
    <row r="27" spans="3:3" ht="15.75" customHeight="1" x14ac:dyDescent="0.25"/>
    <row r="28" spans="3:3" ht="15.75" customHeight="1" x14ac:dyDescent="0.25"/>
    <row r="29" spans="3:3" ht="15.75" customHeight="1" x14ac:dyDescent="0.25"/>
    <row r="30" spans="3:3" ht="15.75" customHeight="1" x14ac:dyDescent="0.25"/>
    <row r="31" spans="3:3" ht="15.75" customHeight="1" x14ac:dyDescent="0.25"/>
    <row r="32" spans="3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</sheetData>
  <mergeCells count="5">
    <mergeCell ref="A1:B1"/>
    <mergeCell ref="F2:G2"/>
    <mergeCell ref="A14:B14"/>
    <mergeCell ref="A2:B2"/>
    <mergeCell ref="A3:B3"/>
  </mergeCells>
  <dataValidations count="1">
    <dataValidation type="list" allowBlank="1" showInputMessage="1" showErrorMessage="1" sqref="C2" xr:uid="{18DFD89F-8350-4251-8976-220984D81548}">
      <formula1>$F$4:$F$9</formula1>
    </dataValidation>
  </dataValidations>
  <pageMargins left="0.75" right="0.75" top="1" bottom="1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39B5-0FDC-4A21-9704-5CA81BC151ED}">
  <sheetPr>
    <pageSetUpPr fitToPage="1"/>
  </sheetPr>
  <dimension ref="A1:O117"/>
  <sheetViews>
    <sheetView topLeftCell="A25" zoomScale="85" zoomScaleNormal="85" workbookViewId="0">
      <selection activeCell="D6" sqref="D6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24.140625" style="1" customWidth="1"/>
    <col min="4" max="4" width="13" style="1" customWidth="1"/>
    <col min="5" max="5" width="59.5703125" style="1" bestFit="1" customWidth="1"/>
    <col min="6" max="6" width="12.140625" style="4" customWidth="1"/>
    <col min="7" max="8" width="12.28515625" style="65" customWidth="1"/>
    <col min="9" max="10" width="12.7109375" style="65" customWidth="1"/>
    <col min="11" max="11" width="10.5703125" style="108" customWidth="1"/>
    <col min="12" max="12" width="10.5703125" style="1" customWidth="1"/>
    <col min="13" max="13" width="10.5703125" style="222" customWidth="1"/>
    <col min="14" max="14" width="10.5703125" style="108" customWidth="1"/>
    <col min="15" max="16384" width="14.42578125" style="1"/>
  </cols>
  <sheetData>
    <row r="1" spans="1:15" ht="21" customHeight="1" x14ac:dyDescent="0.25">
      <c r="A1" s="1" t="s">
        <v>0</v>
      </c>
      <c r="B1" s="379" t="s">
        <v>8</v>
      </c>
      <c r="C1" s="380"/>
      <c r="D1" s="380"/>
      <c r="E1" s="380"/>
      <c r="F1" s="380"/>
      <c r="G1" s="380"/>
      <c r="H1" s="380"/>
      <c r="I1" s="377">
        <f>Summary!D2</f>
        <v>46131</v>
      </c>
      <c r="J1" s="378"/>
    </row>
    <row r="2" spans="1:15" ht="21" customHeight="1" x14ac:dyDescent="0.25">
      <c r="B2" s="2"/>
      <c r="C2" s="2"/>
      <c r="D2" s="2"/>
      <c r="E2" s="3"/>
      <c r="F2" s="39"/>
      <c r="G2" s="154"/>
      <c r="H2" s="59"/>
      <c r="I2" s="63"/>
      <c r="J2" s="59"/>
    </row>
    <row r="3" spans="1:15" ht="48.6" customHeight="1" x14ac:dyDescent="0.25">
      <c r="A3" s="6" t="s">
        <v>30</v>
      </c>
      <c r="B3" s="53" t="s">
        <v>17</v>
      </c>
      <c r="C3" s="53" t="s">
        <v>18</v>
      </c>
      <c r="D3" s="53" t="s">
        <v>19</v>
      </c>
      <c r="E3" s="217" t="s">
        <v>20</v>
      </c>
      <c r="F3" s="200" t="s">
        <v>54</v>
      </c>
      <c r="G3" s="218" t="s">
        <v>21</v>
      </c>
      <c r="H3" s="219" t="s">
        <v>22</v>
      </c>
      <c r="I3" s="220" t="s">
        <v>23</v>
      </c>
      <c r="J3" s="161" t="s">
        <v>24</v>
      </c>
      <c r="K3" s="303"/>
      <c r="L3" s="4"/>
      <c r="M3" s="339"/>
      <c r="N3" s="303"/>
    </row>
    <row r="4" spans="1:15" s="212" customFormat="1" ht="35.450000000000003" customHeight="1" x14ac:dyDescent="0.25">
      <c r="A4" s="77">
        <v>1</v>
      </c>
      <c r="B4" s="383" t="s">
        <v>396</v>
      </c>
      <c r="C4" s="117">
        <v>7898312045351</v>
      </c>
      <c r="D4" s="227">
        <v>205457</v>
      </c>
      <c r="E4" s="121" t="s">
        <v>328</v>
      </c>
      <c r="F4" s="229">
        <v>6</v>
      </c>
      <c r="G4" s="27">
        <v>9.9499999999999993</v>
      </c>
      <c r="H4" s="27">
        <v>9.9499999999999993</v>
      </c>
      <c r="I4" s="25">
        <v>150</v>
      </c>
      <c r="J4" s="130">
        <f>I4*H4</f>
        <v>1492.5</v>
      </c>
      <c r="K4" s="366"/>
      <c r="L4" s="108"/>
      <c r="M4" s="222"/>
      <c r="N4" s="108"/>
    </row>
    <row r="5" spans="1:15" s="223" customFormat="1" ht="35.450000000000003" customHeight="1" x14ac:dyDescent="0.25">
      <c r="A5" s="77">
        <v>2</v>
      </c>
      <c r="B5" s="384"/>
      <c r="C5" s="117">
        <v>7894904055364</v>
      </c>
      <c r="D5" s="250">
        <v>200268</v>
      </c>
      <c r="E5" s="121" t="s">
        <v>329</v>
      </c>
      <c r="F5" s="237">
        <v>6</v>
      </c>
      <c r="G5" s="27">
        <v>7.95</v>
      </c>
      <c r="H5" s="27">
        <v>7.95</v>
      </c>
      <c r="I5" s="25">
        <v>198</v>
      </c>
      <c r="J5" s="130">
        <f t="shared" ref="J5:J43" si="0">I5*H5</f>
        <v>1574.1000000000001</v>
      </c>
      <c r="K5" s="366"/>
      <c r="L5" s="108"/>
      <c r="M5" s="222"/>
      <c r="N5" s="108"/>
      <c r="O5" s="233"/>
    </row>
    <row r="6" spans="1:15" s="285" customFormat="1" ht="33" customHeight="1" x14ac:dyDescent="0.25">
      <c r="A6" s="77">
        <v>3</v>
      </c>
      <c r="B6" s="384"/>
      <c r="C6" s="25">
        <v>8888626607429</v>
      </c>
      <c r="D6" s="224">
        <v>205542</v>
      </c>
      <c r="E6" s="26" t="s">
        <v>159</v>
      </c>
      <c r="F6" s="225">
        <v>10</v>
      </c>
      <c r="G6" s="27">
        <v>12.95</v>
      </c>
      <c r="H6" s="27">
        <v>12.95</v>
      </c>
      <c r="I6" s="25">
        <v>70</v>
      </c>
      <c r="J6" s="130">
        <f t="shared" si="0"/>
        <v>906.5</v>
      </c>
      <c r="K6" s="366"/>
      <c r="L6" s="108"/>
      <c r="M6" s="222"/>
      <c r="N6" s="108"/>
      <c r="O6" s="233"/>
    </row>
    <row r="7" spans="1:15" s="195" customFormat="1" ht="27" customHeight="1" x14ac:dyDescent="0.25">
      <c r="A7" s="77">
        <v>4</v>
      </c>
      <c r="B7" s="384"/>
      <c r="C7" s="25">
        <v>8888626607795</v>
      </c>
      <c r="D7" s="213">
        <v>206083</v>
      </c>
      <c r="E7" s="26" t="s">
        <v>196</v>
      </c>
      <c r="F7" s="215">
        <v>10</v>
      </c>
      <c r="G7" s="27">
        <v>12.45</v>
      </c>
      <c r="H7" s="27">
        <v>12.45</v>
      </c>
      <c r="I7" s="25">
        <v>60</v>
      </c>
      <c r="J7" s="130">
        <f t="shared" si="0"/>
        <v>747</v>
      </c>
      <c r="K7" s="366"/>
      <c r="L7" s="108"/>
      <c r="M7" s="222"/>
      <c r="N7" s="108"/>
      <c r="O7" s="233"/>
    </row>
    <row r="8" spans="1:15" s="212" customFormat="1" ht="27" customHeight="1" x14ac:dyDescent="0.25">
      <c r="A8" s="77">
        <v>5</v>
      </c>
      <c r="B8" s="384"/>
      <c r="C8" s="25">
        <v>8888626606859</v>
      </c>
      <c r="D8" s="185">
        <v>205115</v>
      </c>
      <c r="E8" s="26" t="s">
        <v>66</v>
      </c>
      <c r="F8" s="111">
        <v>20</v>
      </c>
      <c r="G8" s="27">
        <v>14.95</v>
      </c>
      <c r="H8" s="27">
        <v>14.95</v>
      </c>
      <c r="I8" s="25">
        <v>60</v>
      </c>
      <c r="J8" s="130">
        <f t="shared" si="0"/>
        <v>897</v>
      </c>
      <c r="K8" s="366"/>
      <c r="L8" s="108"/>
      <c r="M8" s="222"/>
      <c r="N8" s="108"/>
      <c r="O8" s="233"/>
    </row>
    <row r="9" spans="1:15" s="120" customFormat="1" ht="21.75" customHeight="1" x14ac:dyDescent="0.25">
      <c r="A9" s="77">
        <v>6</v>
      </c>
      <c r="B9" s="384"/>
      <c r="C9" s="25">
        <v>8888626143347</v>
      </c>
      <c r="D9" s="129">
        <v>205362</v>
      </c>
      <c r="E9" s="26" t="s">
        <v>86</v>
      </c>
      <c r="F9" s="111">
        <v>20</v>
      </c>
      <c r="G9" s="27">
        <v>4.25</v>
      </c>
      <c r="H9" s="27">
        <v>4.25</v>
      </c>
      <c r="I9" s="25">
        <v>40</v>
      </c>
      <c r="J9" s="130">
        <f t="shared" si="0"/>
        <v>170</v>
      </c>
      <c r="K9" s="366"/>
      <c r="L9" s="108"/>
      <c r="M9" s="222"/>
      <c r="N9" s="108"/>
      <c r="O9" s="233"/>
    </row>
    <row r="10" spans="1:15" s="84" customFormat="1" ht="21" customHeight="1" x14ac:dyDescent="0.25">
      <c r="A10" s="77">
        <v>7</v>
      </c>
      <c r="B10" s="384"/>
      <c r="C10" s="117">
        <v>8888626608617</v>
      </c>
      <c r="D10" s="287">
        <v>206492</v>
      </c>
      <c r="E10" s="121" t="s">
        <v>272</v>
      </c>
      <c r="F10" s="248">
        <v>20</v>
      </c>
      <c r="G10" s="304">
        <v>4.95</v>
      </c>
      <c r="H10" s="304">
        <v>4.95</v>
      </c>
      <c r="I10" s="25">
        <v>40</v>
      </c>
      <c r="J10" s="130">
        <f t="shared" si="0"/>
        <v>198</v>
      </c>
      <c r="K10" s="366"/>
      <c r="L10" s="108"/>
      <c r="M10" s="222"/>
      <c r="N10" s="108"/>
      <c r="O10" s="233"/>
    </row>
    <row r="11" spans="1:15" s="72" customFormat="1" ht="21" customHeight="1" x14ac:dyDescent="0.25">
      <c r="A11" s="77">
        <v>8</v>
      </c>
      <c r="B11" s="384"/>
      <c r="C11" s="117">
        <v>8888626002040</v>
      </c>
      <c r="D11" s="140">
        <v>202307</v>
      </c>
      <c r="E11" s="121" t="s">
        <v>145</v>
      </c>
      <c r="F11" s="111">
        <v>12</v>
      </c>
      <c r="G11" s="304">
        <v>6.95</v>
      </c>
      <c r="H11" s="304">
        <v>6.95</v>
      </c>
      <c r="I11" s="25">
        <v>24</v>
      </c>
      <c r="J11" s="130">
        <f t="shared" si="0"/>
        <v>166.8</v>
      </c>
      <c r="K11" s="366"/>
      <c r="L11" s="108"/>
      <c r="M11" s="222"/>
      <c r="N11" s="108"/>
      <c r="O11" s="233"/>
    </row>
    <row r="12" spans="1:15" s="82" customFormat="1" ht="21" customHeight="1" x14ac:dyDescent="0.25">
      <c r="A12" s="77">
        <v>9</v>
      </c>
      <c r="B12" s="384"/>
      <c r="C12" s="117">
        <v>8888626607559</v>
      </c>
      <c r="D12" s="140">
        <v>205766</v>
      </c>
      <c r="E12" s="121" t="s">
        <v>150</v>
      </c>
      <c r="F12" s="111">
        <v>30</v>
      </c>
      <c r="G12" s="27">
        <v>3.3</v>
      </c>
      <c r="H12" s="27">
        <v>3.3</v>
      </c>
      <c r="I12" s="25">
        <v>90</v>
      </c>
      <c r="J12" s="130">
        <f t="shared" si="0"/>
        <v>297</v>
      </c>
      <c r="K12" s="366"/>
      <c r="L12" s="108"/>
      <c r="M12" s="222"/>
      <c r="N12" s="108"/>
      <c r="O12" s="233"/>
    </row>
    <row r="13" spans="1:15" s="285" customFormat="1" ht="21" customHeight="1" x14ac:dyDescent="0.25">
      <c r="A13" s="77">
        <v>10</v>
      </c>
      <c r="B13" s="384"/>
      <c r="C13" s="25">
        <v>8888626606613</v>
      </c>
      <c r="D13" s="37">
        <v>204784</v>
      </c>
      <c r="E13" s="26" t="s">
        <v>60</v>
      </c>
      <c r="F13" s="111">
        <v>20</v>
      </c>
      <c r="G13" s="27">
        <v>3.75</v>
      </c>
      <c r="H13" s="27">
        <v>3.75</v>
      </c>
      <c r="I13" s="25">
        <v>60</v>
      </c>
      <c r="J13" s="130">
        <f t="shared" si="0"/>
        <v>225</v>
      </c>
      <c r="K13" s="366"/>
      <c r="L13" s="108"/>
      <c r="M13" s="222"/>
      <c r="N13" s="108"/>
      <c r="O13" s="233"/>
    </row>
    <row r="14" spans="1:15" s="72" customFormat="1" ht="21" customHeight="1" x14ac:dyDescent="0.25">
      <c r="A14" s="77">
        <v>11</v>
      </c>
      <c r="B14" s="384"/>
      <c r="C14" s="25">
        <v>8888626606965</v>
      </c>
      <c r="D14" s="185">
        <v>205144</v>
      </c>
      <c r="E14" s="26" t="s">
        <v>67</v>
      </c>
      <c r="F14" s="111">
        <v>12</v>
      </c>
      <c r="G14" s="27">
        <v>6.25</v>
      </c>
      <c r="H14" s="27">
        <v>6.25</v>
      </c>
      <c r="I14" s="25">
        <v>36</v>
      </c>
      <c r="J14" s="130">
        <f>I14*H14</f>
        <v>225</v>
      </c>
      <c r="K14" s="366"/>
      <c r="L14" s="108"/>
      <c r="M14" s="222"/>
      <c r="N14" s="108"/>
      <c r="O14" s="233"/>
    </row>
    <row r="15" spans="1:15" s="128" customFormat="1" ht="21" customHeight="1" x14ac:dyDescent="0.25">
      <c r="A15" s="77">
        <v>12</v>
      </c>
      <c r="B15" s="384"/>
      <c r="C15" s="25">
        <v>8888626606828</v>
      </c>
      <c r="D15" s="185">
        <v>204962</v>
      </c>
      <c r="E15" s="26" t="s">
        <v>93</v>
      </c>
      <c r="F15" s="111">
        <v>20</v>
      </c>
      <c r="G15" s="27">
        <v>4.95</v>
      </c>
      <c r="H15" s="27">
        <v>4.95</v>
      </c>
      <c r="I15" s="25">
        <v>20</v>
      </c>
      <c r="J15" s="150">
        <f t="shared" si="0"/>
        <v>99</v>
      </c>
      <c r="K15" s="366"/>
      <c r="L15" s="108"/>
      <c r="M15" s="222"/>
      <c r="N15" s="108"/>
      <c r="O15" s="233"/>
    </row>
    <row r="16" spans="1:15" s="134" customFormat="1" ht="21" customHeight="1" x14ac:dyDescent="0.25">
      <c r="A16" s="77">
        <v>13</v>
      </c>
      <c r="B16" s="384"/>
      <c r="C16" s="25">
        <v>8888626606439</v>
      </c>
      <c r="D16" s="185">
        <v>204556</v>
      </c>
      <c r="E16" s="26" t="s">
        <v>80</v>
      </c>
      <c r="F16" s="111">
        <v>20</v>
      </c>
      <c r="G16" s="27">
        <v>4.95</v>
      </c>
      <c r="H16" s="27">
        <v>4.95</v>
      </c>
      <c r="I16" s="25">
        <v>40</v>
      </c>
      <c r="J16" s="130">
        <f t="shared" si="0"/>
        <v>198</v>
      </c>
      <c r="K16" s="366"/>
      <c r="L16" s="108"/>
      <c r="M16" s="222"/>
      <c r="N16" s="108"/>
      <c r="O16" s="233"/>
    </row>
    <row r="17" spans="1:15" s="212" customFormat="1" ht="21" customHeight="1" x14ac:dyDescent="0.25">
      <c r="A17" s="77">
        <v>14</v>
      </c>
      <c r="B17" s="384"/>
      <c r="C17" s="25">
        <v>8888626605074</v>
      </c>
      <c r="D17" s="321">
        <v>204027</v>
      </c>
      <c r="E17" s="327" t="s">
        <v>290</v>
      </c>
      <c r="F17" s="248">
        <v>10</v>
      </c>
      <c r="G17" s="27">
        <v>9</v>
      </c>
      <c r="H17" s="27">
        <v>9</v>
      </c>
      <c r="I17" s="25">
        <v>20</v>
      </c>
      <c r="J17" s="130">
        <f t="shared" si="0"/>
        <v>180</v>
      </c>
      <c r="K17" s="366"/>
      <c r="L17" s="108"/>
      <c r="M17" s="222"/>
      <c r="N17" s="108"/>
      <c r="O17" s="233"/>
    </row>
    <row r="18" spans="1:15" s="189" customFormat="1" ht="21" customHeight="1" x14ac:dyDescent="0.25">
      <c r="A18" s="77">
        <v>15</v>
      </c>
      <c r="B18" s="384"/>
      <c r="C18" s="25">
        <v>8888626608136</v>
      </c>
      <c r="D18" s="288">
        <v>206188</v>
      </c>
      <c r="E18" s="289" t="s">
        <v>203</v>
      </c>
      <c r="F18" s="215">
        <v>20</v>
      </c>
      <c r="G18" s="27">
        <v>7.95</v>
      </c>
      <c r="H18" s="27">
        <v>7.95</v>
      </c>
      <c r="I18" s="25">
        <v>60</v>
      </c>
      <c r="J18" s="130">
        <f t="shared" si="0"/>
        <v>477</v>
      </c>
      <c r="K18" s="366"/>
      <c r="L18" s="108"/>
      <c r="M18" s="222"/>
      <c r="N18" s="108"/>
      <c r="O18" s="233"/>
    </row>
    <row r="19" spans="1:15" s="52" customFormat="1" ht="21" customHeight="1" x14ac:dyDescent="0.25">
      <c r="A19" s="77">
        <v>16</v>
      </c>
      <c r="B19" s="384"/>
      <c r="C19" s="25">
        <v>8888626608945</v>
      </c>
      <c r="D19" s="312">
        <v>206579</v>
      </c>
      <c r="E19" s="121" t="s">
        <v>331</v>
      </c>
      <c r="F19" s="248">
        <v>20</v>
      </c>
      <c r="G19" s="27">
        <v>5.5</v>
      </c>
      <c r="H19" s="27">
        <v>5.5</v>
      </c>
      <c r="I19" s="25">
        <v>60</v>
      </c>
      <c r="J19" s="130">
        <f t="shared" si="0"/>
        <v>330</v>
      </c>
      <c r="K19" s="366"/>
      <c r="L19" s="108"/>
      <c r="M19" s="222"/>
      <c r="N19" s="108"/>
      <c r="O19" s="233"/>
    </row>
    <row r="20" spans="1:15" s="72" customFormat="1" ht="21" customHeight="1" x14ac:dyDescent="0.25">
      <c r="A20" s="77">
        <v>17</v>
      </c>
      <c r="B20" s="384"/>
      <c r="C20" s="25">
        <v>8888626608600</v>
      </c>
      <c r="D20" s="286">
        <v>206491</v>
      </c>
      <c r="E20" s="121" t="s">
        <v>330</v>
      </c>
      <c r="F20" s="248">
        <v>20</v>
      </c>
      <c r="G20" s="27">
        <v>6.45</v>
      </c>
      <c r="H20" s="27">
        <v>6.45</v>
      </c>
      <c r="I20" s="25">
        <v>60</v>
      </c>
      <c r="J20" s="130">
        <f t="shared" si="0"/>
        <v>387</v>
      </c>
      <c r="K20" s="366"/>
      <c r="L20" s="108"/>
      <c r="M20" s="222"/>
      <c r="N20" s="108"/>
      <c r="O20" s="233"/>
    </row>
    <row r="21" spans="1:15" ht="21" customHeight="1" x14ac:dyDescent="0.25">
      <c r="A21" s="77">
        <v>18</v>
      </c>
      <c r="B21" s="384"/>
      <c r="C21" s="25">
        <v>8888626002095</v>
      </c>
      <c r="D21" s="213">
        <v>202315</v>
      </c>
      <c r="E21" s="26" t="s">
        <v>256</v>
      </c>
      <c r="F21" s="215">
        <v>12</v>
      </c>
      <c r="G21" s="27">
        <v>7</v>
      </c>
      <c r="H21" s="27">
        <v>7</v>
      </c>
      <c r="I21" s="25">
        <v>84</v>
      </c>
      <c r="J21" s="130">
        <f t="shared" si="0"/>
        <v>588</v>
      </c>
      <c r="K21" s="366"/>
      <c r="L21" s="108"/>
      <c r="O21" s="233"/>
    </row>
    <row r="22" spans="1:15" s="285" customFormat="1" ht="21" customHeight="1" x14ac:dyDescent="0.25">
      <c r="A22" s="77">
        <v>19</v>
      </c>
      <c r="B22" s="384"/>
      <c r="C22" s="25">
        <v>8888626001920</v>
      </c>
      <c r="D22" s="185">
        <v>202210</v>
      </c>
      <c r="E22" s="26" t="s">
        <v>147</v>
      </c>
      <c r="F22" s="111">
        <v>12</v>
      </c>
      <c r="G22" s="27">
        <v>12</v>
      </c>
      <c r="H22" s="27">
        <v>12</v>
      </c>
      <c r="I22" s="25">
        <v>144</v>
      </c>
      <c r="J22" s="150">
        <f t="shared" si="0"/>
        <v>1728</v>
      </c>
      <c r="K22" s="366"/>
      <c r="L22" s="108"/>
      <c r="M22" s="222"/>
      <c r="N22" s="108"/>
      <c r="O22" s="233"/>
    </row>
    <row r="23" spans="1:15" s="92" customFormat="1" ht="21" customHeight="1" x14ac:dyDescent="0.25">
      <c r="A23" s="77">
        <v>20</v>
      </c>
      <c r="B23" s="384"/>
      <c r="C23" s="25">
        <v>8888626608204</v>
      </c>
      <c r="D23" s="213">
        <v>206384</v>
      </c>
      <c r="E23" s="26" t="s">
        <v>246</v>
      </c>
      <c r="F23" s="111">
        <v>14</v>
      </c>
      <c r="G23" s="27">
        <v>7.95</v>
      </c>
      <c r="H23" s="27">
        <v>7.95</v>
      </c>
      <c r="I23" s="25">
        <v>56</v>
      </c>
      <c r="J23" s="150">
        <f t="shared" si="0"/>
        <v>445.2</v>
      </c>
      <c r="K23" s="366"/>
      <c r="L23" s="108"/>
      <c r="M23" s="222"/>
      <c r="N23" s="108"/>
      <c r="O23" s="233"/>
    </row>
    <row r="24" spans="1:15" s="80" customFormat="1" ht="21" customHeight="1" x14ac:dyDescent="0.25">
      <c r="A24" s="77">
        <v>21</v>
      </c>
      <c r="B24" s="384"/>
      <c r="C24" s="25">
        <v>8888626606811</v>
      </c>
      <c r="D24" s="301">
        <v>205214</v>
      </c>
      <c r="E24" s="26" t="s">
        <v>266</v>
      </c>
      <c r="F24" s="248">
        <v>12</v>
      </c>
      <c r="G24" s="27">
        <v>6</v>
      </c>
      <c r="H24" s="27">
        <v>6</v>
      </c>
      <c r="I24" s="25">
        <v>96</v>
      </c>
      <c r="J24" s="130">
        <f t="shared" si="0"/>
        <v>576</v>
      </c>
      <c r="K24" s="366"/>
      <c r="L24" s="108"/>
      <c r="M24" s="222"/>
      <c r="N24" s="108"/>
      <c r="O24" s="233"/>
    </row>
    <row r="25" spans="1:15" s="79" customFormat="1" ht="21" customHeight="1" x14ac:dyDescent="0.25">
      <c r="A25" s="77">
        <v>22</v>
      </c>
      <c r="B25" s="384"/>
      <c r="C25" s="25">
        <v>8888626607474</v>
      </c>
      <c r="D25" s="210">
        <v>205398</v>
      </c>
      <c r="E25" s="26" t="s">
        <v>192</v>
      </c>
      <c r="F25" s="211">
        <v>12</v>
      </c>
      <c r="G25" s="27">
        <v>4.75</v>
      </c>
      <c r="H25" s="27">
        <v>4.75</v>
      </c>
      <c r="I25" s="25">
        <v>36</v>
      </c>
      <c r="J25" s="150">
        <f t="shared" si="0"/>
        <v>171</v>
      </c>
      <c r="K25" s="366"/>
      <c r="L25" s="108"/>
      <c r="M25" s="222"/>
      <c r="N25" s="108"/>
      <c r="O25" s="233"/>
    </row>
    <row r="26" spans="1:15" s="207" customFormat="1" ht="21" customHeight="1" x14ac:dyDescent="0.25">
      <c r="A26" s="77">
        <v>23</v>
      </c>
      <c r="B26" s="384"/>
      <c r="C26" s="25">
        <v>8888626607818</v>
      </c>
      <c r="D26" s="321">
        <v>206015</v>
      </c>
      <c r="E26" s="26" t="s">
        <v>291</v>
      </c>
      <c r="F26" s="248">
        <v>20</v>
      </c>
      <c r="G26" s="27">
        <v>4.95</v>
      </c>
      <c r="H26" s="27">
        <v>4.95</v>
      </c>
      <c r="I26" s="25">
        <v>40</v>
      </c>
      <c r="J26" s="130">
        <f t="shared" si="0"/>
        <v>198</v>
      </c>
      <c r="K26" s="366"/>
      <c r="L26" s="108"/>
      <c r="M26" s="222"/>
      <c r="N26" s="108"/>
      <c r="O26" s="233"/>
    </row>
    <row r="27" spans="1:15" s="226" customFormat="1" ht="21" customHeight="1" x14ac:dyDescent="0.25">
      <c r="A27" s="77">
        <v>24</v>
      </c>
      <c r="B27" s="384"/>
      <c r="C27" s="25">
        <v>8888626001906</v>
      </c>
      <c r="D27" s="242">
        <v>202208</v>
      </c>
      <c r="E27" s="26" t="s">
        <v>208</v>
      </c>
      <c r="F27" s="228">
        <v>12</v>
      </c>
      <c r="G27" s="27">
        <v>12</v>
      </c>
      <c r="H27" s="27">
        <v>12</v>
      </c>
      <c r="I27" s="25">
        <v>48</v>
      </c>
      <c r="J27" s="130">
        <f t="shared" si="0"/>
        <v>576</v>
      </c>
      <c r="K27" s="366"/>
      <c r="L27" s="108"/>
      <c r="M27" s="222"/>
      <c r="N27" s="108"/>
      <c r="O27" s="233"/>
    </row>
    <row r="28" spans="1:15" s="94" customFormat="1" ht="21" customHeight="1" x14ac:dyDescent="0.25">
      <c r="A28" s="77">
        <v>25</v>
      </c>
      <c r="B28" s="384"/>
      <c r="C28" s="25">
        <v>8888626608440</v>
      </c>
      <c r="D28" s="249">
        <v>206396</v>
      </c>
      <c r="E28" s="121" t="s">
        <v>228</v>
      </c>
      <c r="F28" s="248">
        <v>24</v>
      </c>
      <c r="G28" s="27">
        <v>4</v>
      </c>
      <c r="H28" s="27">
        <v>4</v>
      </c>
      <c r="I28" s="25">
        <v>48</v>
      </c>
      <c r="J28" s="130">
        <f t="shared" si="0"/>
        <v>192</v>
      </c>
      <c r="K28" s="366"/>
      <c r="L28" s="108"/>
      <c r="M28" s="222"/>
      <c r="N28" s="108"/>
      <c r="O28" s="233"/>
    </row>
    <row r="29" spans="1:15" s="247" customFormat="1" ht="21" customHeight="1" x14ac:dyDescent="0.25">
      <c r="A29" s="77">
        <v>26</v>
      </c>
      <c r="B29" s="384"/>
      <c r="C29" s="25">
        <v>8888626608709</v>
      </c>
      <c r="D29" s="299">
        <v>206561</v>
      </c>
      <c r="E29" s="266" t="s">
        <v>274</v>
      </c>
      <c r="F29" s="300">
        <v>15</v>
      </c>
      <c r="G29" s="27">
        <v>5.5</v>
      </c>
      <c r="H29" s="27">
        <v>5.5</v>
      </c>
      <c r="I29" s="25">
        <v>30</v>
      </c>
      <c r="J29" s="130">
        <f t="shared" si="0"/>
        <v>165</v>
      </c>
      <c r="K29" s="366"/>
      <c r="L29" s="108"/>
      <c r="M29" s="222"/>
      <c r="N29" s="108"/>
      <c r="O29" s="233"/>
    </row>
    <row r="30" spans="1:15" s="247" customFormat="1" ht="21" customHeight="1" x14ac:dyDescent="0.25">
      <c r="A30" s="77">
        <v>27</v>
      </c>
      <c r="B30" s="384"/>
      <c r="C30" s="25">
        <v>8888626608693</v>
      </c>
      <c r="D30" s="299">
        <v>206562</v>
      </c>
      <c r="E30" s="266" t="s">
        <v>275</v>
      </c>
      <c r="F30" s="300">
        <v>15</v>
      </c>
      <c r="G30" s="27">
        <v>5.5</v>
      </c>
      <c r="H30" s="27">
        <v>5.5</v>
      </c>
      <c r="I30" s="25">
        <v>45</v>
      </c>
      <c r="J30" s="150">
        <f t="shared" si="0"/>
        <v>247.5</v>
      </c>
      <c r="K30" s="366"/>
      <c r="L30" s="108"/>
      <c r="M30" s="222"/>
      <c r="N30" s="108"/>
      <c r="O30" s="233"/>
    </row>
    <row r="31" spans="1:15" s="247" customFormat="1" ht="21" customHeight="1" x14ac:dyDescent="0.25">
      <c r="A31" s="77">
        <v>28</v>
      </c>
      <c r="B31" s="384"/>
      <c r="C31" s="25">
        <v>8888626608723</v>
      </c>
      <c r="D31" s="299">
        <v>206564</v>
      </c>
      <c r="E31" s="266" t="s">
        <v>276</v>
      </c>
      <c r="F31" s="300">
        <v>12</v>
      </c>
      <c r="G31" s="27">
        <v>5</v>
      </c>
      <c r="H31" s="27">
        <v>5</v>
      </c>
      <c r="I31" s="25">
        <v>36</v>
      </c>
      <c r="J31" s="130">
        <f t="shared" si="0"/>
        <v>180</v>
      </c>
      <c r="K31" s="366"/>
      <c r="L31" s="108"/>
      <c r="M31" s="222"/>
      <c r="N31" s="108"/>
      <c r="O31" s="233"/>
    </row>
    <row r="32" spans="1:15" s="189" customFormat="1" ht="21" customHeight="1" x14ac:dyDescent="0.25">
      <c r="A32" s="77">
        <v>29</v>
      </c>
      <c r="B32" s="384"/>
      <c r="C32" s="25">
        <v>8888626030708</v>
      </c>
      <c r="D32" s="320">
        <v>202624</v>
      </c>
      <c r="E32" s="266" t="s">
        <v>335</v>
      </c>
      <c r="F32" s="319">
        <v>20</v>
      </c>
      <c r="G32" s="27">
        <v>9</v>
      </c>
      <c r="H32" s="27">
        <v>9</v>
      </c>
      <c r="I32" s="25">
        <v>40</v>
      </c>
      <c r="J32" s="130">
        <f t="shared" si="0"/>
        <v>360</v>
      </c>
      <c r="K32" s="366"/>
      <c r="L32" s="108"/>
      <c r="M32" s="222"/>
      <c r="N32" s="108"/>
      <c r="O32" s="233"/>
    </row>
    <row r="33" spans="1:15" s="189" customFormat="1" ht="21" customHeight="1" x14ac:dyDescent="0.25">
      <c r="A33" s="77">
        <v>30</v>
      </c>
      <c r="B33" s="384"/>
      <c r="C33" s="25">
        <v>8888626608075</v>
      </c>
      <c r="D33" s="320">
        <v>824910</v>
      </c>
      <c r="E33" s="266" t="s">
        <v>292</v>
      </c>
      <c r="F33" s="319">
        <v>36</v>
      </c>
      <c r="G33" s="27">
        <v>2.5</v>
      </c>
      <c r="H33" s="27">
        <v>2.5</v>
      </c>
      <c r="I33" s="25">
        <v>72</v>
      </c>
      <c r="J33" s="150">
        <f t="shared" si="0"/>
        <v>180</v>
      </c>
      <c r="K33" s="366"/>
      <c r="L33" s="108"/>
      <c r="M33" s="222"/>
      <c r="N33" s="108"/>
      <c r="O33" s="233"/>
    </row>
    <row r="34" spans="1:15" s="88" customFormat="1" ht="21" customHeight="1" x14ac:dyDescent="0.25">
      <c r="A34" s="77">
        <v>31</v>
      </c>
      <c r="B34" s="384"/>
      <c r="C34" s="25">
        <v>8888626608686</v>
      </c>
      <c r="D34" s="291">
        <v>206526</v>
      </c>
      <c r="E34" s="266" t="s">
        <v>273</v>
      </c>
      <c r="F34" s="292">
        <v>25</v>
      </c>
      <c r="G34" s="27">
        <v>2</v>
      </c>
      <c r="H34" s="27">
        <v>2</v>
      </c>
      <c r="I34" s="25">
        <v>50</v>
      </c>
      <c r="J34" s="130">
        <f t="shared" si="0"/>
        <v>100</v>
      </c>
      <c r="K34" s="366"/>
      <c r="L34" s="108"/>
      <c r="M34" s="222"/>
      <c r="N34" s="108"/>
      <c r="O34" s="233"/>
    </row>
    <row r="35" spans="1:15" s="84" customFormat="1" ht="23.25" customHeight="1" x14ac:dyDescent="0.25">
      <c r="A35" s="77">
        <v>32</v>
      </c>
      <c r="B35" s="384"/>
      <c r="C35" s="264">
        <v>8888626608556</v>
      </c>
      <c r="D35" s="260">
        <v>206494</v>
      </c>
      <c r="E35" s="265" t="s">
        <v>277</v>
      </c>
      <c r="F35" s="260">
        <v>20</v>
      </c>
      <c r="G35" s="27">
        <v>2.5</v>
      </c>
      <c r="H35" s="27">
        <v>2.5</v>
      </c>
      <c r="I35" s="25">
        <v>60</v>
      </c>
      <c r="J35" s="130">
        <f t="shared" si="0"/>
        <v>150</v>
      </c>
      <c r="K35" s="366"/>
      <c r="L35" s="108"/>
      <c r="M35" s="222"/>
      <c r="N35" s="108"/>
      <c r="O35" s="233"/>
    </row>
    <row r="36" spans="1:15" s="134" customFormat="1" ht="23.25" customHeight="1" x14ac:dyDescent="0.25">
      <c r="A36" s="77">
        <v>33</v>
      </c>
      <c r="B36" s="384"/>
      <c r="C36" s="264" t="s">
        <v>333</v>
      </c>
      <c r="D36" s="336">
        <v>202612</v>
      </c>
      <c r="E36" s="265" t="s">
        <v>336</v>
      </c>
      <c r="F36" s="336">
        <v>10</v>
      </c>
      <c r="G36" s="27">
        <v>3.25</v>
      </c>
      <c r="H36" s="27">
        <v>3.25</v>
      </c>
      <c r="I36" s="25">
        <v>50</v>
      </c>
      <c r="J36" s="150">
        <f t="shared" si="0"/>
        <v>162.5</v>
      </c>
      <c r="K36" s="366"/>
      <c r="L36" s="108"/>
      <c r="M36" s="222"/>
      <c r="N36" s="108"/>
      <c r="O36" s="233"/>
    </row>
    <row r="37" spans="1:15" ht="21" customHeight="1" x14ac:dyDescent="0.25">
      <c r="A37" s="77">
        <v>34</v>
      </c>
      <c r="B37" s="384"/>
      <c r="C37" s="264" t="s">
        <v>334</v>
      </c>
      <c r="D37" s="336">
        <v>202613</v>
      </c>
      <c r="E37" s="265" t="s">
        <v>337</v>
      </c>
      <c r="F37" s="336">
        <v>10</v>
      </c>
      <c r="G37" s="27">
        <v>3.25</v>
      </c>
      <c r="H37" s="27">
        <v>3.25</v>
      </c>
      <c r="I37" s="25">
        <v>20</v>
      </c>
      <c r="J37" s="130">
        <f t="shared" si="0"/>
        <v>65</v>
      </c>
      <c r="K37" s="366"/>
      <c r="L37" s="108"/>
      <c r="O37" s="233"/>
    </row>
    <row r="38" spans="1:15" ht="21" customHeight="1" x14ac:dyDescent="0.25">
      <c r="A38" s="77">
        <v>35</v>
      </c>
      <c r="B38" s="384"/>
      <c r="C38" s="264">
        <v>8888626607634</v>
      </c>
      <c r="D38" s="336">
        <v>206609</v>
      </c>
      <c r="E38" s="265" t="s">
        <v>338</v>
      </c>
      <c r="F38" s="336">
        <v>20</v>
      </c>
      <c r="G38" s="27">
        <v>4.5</v>
      </c>
      <c r="H38" s="27">
        <v>4.5</v>
      </c>
      <c r="I38" s="25">
        <v>40</v>
      </c>
      <c r="J38" s="130">
        <f t="shared" si="0"/>
        <v>180</v>
      </c>
      <c r="K38" s="366"/>
      <c r="L38" s="108"/>
      <c r="O38" s="233"/>
    </row>
    <row r="39" spans="1:15" s="158" customFormat="1" ht="21" customHeight="1" x14ac:dyDescent="0.25">
      <c r="A39" s="77">
        <v>36</v>
      </c>
      <c r="B39" s="384"/>
      <c r="C39" s="264">
        <v>8888626606538</v>
      </c>
      <c r="D39" s="336">
        <v>204741</v>
      </c>
      <c r="E39" s="265" t="s">
        <v>332</v>
      </c>
      <c r="F39" s="336">
        <v>20</v>
      </c>
      <c r="G39" s="27">
        <v>5.75</v>
      </c>
      <c r="H39" s="27">
        <v>5.75</v>
      </c>
      <c r="I39" s="25">
        <v>40</v>
      </c>
      <c r="J39" s="150">
        <f t="shared" si="0"/>
        <v>230</v>
      </c>
      <c r="K39" s="366"/>
      <c r="L39" s="108"/>
      <c r="M39" s="222"/>
      <c r="N39" s="108"/>
      <c r="O39" s="233"/>
    </row>
    <row r="40" spans="1:15" s="158" customFormat="1" ht="21" customHeight="1" x14ac:dyDescent="0.25">
      <c r="A40" s="77">
        <v>37</v>
      </c>
      <c r="B40" s="384"/>
      <c r="C40" s="264">
        <v>8888626608969</v>
      </c>
      <c r="D40" s="336">
        <v>206581</v>
      </c>
      <c r="E40" s="265" t="s">
        <v>339</v>
      </c>
      <c r="F40" s="336">
        <v>20</v>
      </c>
      <c r="G40" s="27">
        <v>7.95</v>
      </c>
      <c r="H40" s="27">
        <v>7.95</v>
      </c>
      <c r="I40" s="25">
        <v>40</v>
      </c>
      <c r="J40" s="130">
        <f t="shared" si="0"/>
        <v>318</v>
      </c>
      <c r="K40" s="366"/>
      <c r="L40" s="108"/>
      <c r="M40" s="222"/>
      <c r="N40" s="108"/>
      <c r="O40" s="233"/>
    </row>
    <row r="41" spans="1:15" ht="21" customHeight="1" x14ac:dyDescent="0.25">
      <c r="A41" s="77">
        <v>38</v>
      </c>
      <c r="B41" s="381" t="s">
        <v>98</v>
      </c>
      <c r="C41" s="25">
        <v>8888626005379</v>
      </c>
      <c r="D41" s="249">
        <v>202327</v>
      </c>
      <c r="E41" s="106" t="s">
        <v>91</v>
      </c>
      <c r="F41" s="248">
        <v>12</v>
      </c>
      <c r="G41" s="27">
        <v>7.95</v>
      </c>
      <c r="H41" s="27">
        <v>7.95</v>
      </c>
      <c r="I41" s="25">
        <v>72</v>
      </c>
      <c r="J41" s="150">
        <f t="shared" si="0"/>
        <v>572.4</v>
      </c>
      <c r="K41" s="366"/>
      <c r="L41" s="108"/>
      <c r="O41" s="233"/>
    </row>
    <row r="42" spans="1:15" ht="21" customHeight="1" x14ac:dyDescent="0.25">
      <c r="A42" s="77">
        <v>39</v>
      </c>
      <c r="B42" s="382"/>
      <c r="C42" s="25">
        <v>8888626005362</v>
      </c>
      <c r="D42" s="249">
        <v>202326</v>
      </c>
      <c r="E42" s="106" t="s">
        <v>176</v>
      </c>
      <c r="F42" s="248">
        <v>12</v>
      </c>
      <c r="G42" s="27">
        <v>7.95</v>
      </c>
      <c r="H42" s="27">
        <v>7.95</v>
      </c>
      <c r="I42" s="25">
        <v>60</v>
      </c>
      <c r="J42" s="130">
        <f t="shared" si="0"/>
        <v>477</v>
      </c>
      <c r="K42" s="366"/>
      <c r="L42" s="108"/>
      <c r="O42" s="233"/>
    </row>
    <row r="43" spans="1:15" ht="21" customHeight="1" x14ac:dyDescent="0.25">
      <c r="A43" s="77">
        <v>40</v>
      </c>
      <c r="B43" s="322" t="s">
        <v>142</v>
      </c>
      <c r="C43" s="25">
        <v>8888626002071</v>
      </c>
      <c r="D43" s="321">
        <v>202312</v>
      </c>
      <c r="E43" s="106" t="s">
        <v>34</v>
      </c>
      <c r="F43" s="248">
        <v>24</v>
      </c>
      <c r="G43" s="27">
        <v>1.95</v>
      </c>
      <c r="H43" s="27">
        <v>1.95</v>
      </c>
      <c r="I43" s="25">
        <v>120</v>
      </c>
      <c r="J43" s="130">
        <f t="shared" si="0"/>
        <v>234</v>
      </c>
      <c r="K43" s="366"/>
      <c r="L43" s="108"/>
      <c r="O43" s="233"/>
    </row>
    <row r="44" spans="1:15" ht="21" customHeight="1" x14ac:dyDescent="0.25">
      <c r="A44" s="372" t="s">
        <v>118</v>
      </c>
      <c r="B44" s="375"/>
      <c r="C44" s="375"/>
      <c r="D44" s="375"/>
      <c r="E44" s="375"/>
      <c r="F44" s="375"/>
      <c r="G44" s="375"/>
      <c r="H44" s="375"/>
      <c r="I44" s="376"/>
      <c r="J44" s="162">
        <f>SUM(J4:J43)</f>
        <v>16665.5</v>
      </c>
    </row>
    <row r="45" spans="1:15" ht="21" customHeight="1" x14ac:dyDescent="0.25">
      <c r="A45" s="11"/>
      <c r="B45" s="12"/>
      <c r="C45" s="12"/>
      <c r="D45" s="12"/>
      <c r="E45" s="10"/>
      <c r="F45" s="11"/>
      <c r="G45" s="62"/>
      <c r="H45" s="60"/>
      <c r="I45" s="63"/>
      <c r="J45" s="230"/>
    </row>
    <row r="46" spans="1:15" ht="21" customHeight="1" x14ac:dyDescent="0.25">
      <c r="A46" s="11"/>
      <c r="B46" s="12"/>
      <c r="C46" s="12"/>
      <c r="D46" s="12"/>
      <c r="E46" s="10"/>
      <c r="F46" s="11"/>
      <c r="G46" s="62"/>
      <c r="H46" s="60"/>
      <c r="I46" s="63"/>
      <c r="J46" s="60"/>
    </row>
    <row r="47" spans="1:15" ht="21" customHeight="1" x14ac:dyDescent="0.25">
      <c r="A47" s="11"/>
      <c r="B47" s="12"/>
      <c r="C47" s="12"/>
      <c r="D47" s="12"/>
      <c r="E47" s="10"/>
      <c r="F47" s="11"/>
      <c r="G47" s="62"/>
      <c r="H47" s="60"/>
      <c r="I47" s="63"/>
      <c r="J47" s="60"/>
    </row>
    <row r="48" spans="1:15" ht="21" customHeight="1" x14ac:dyDescent="0.25">
      <c r="A48" s="11"/>
      <c r="B48" s="12"/>
      <c r="C48" s="12"/>
      <c r="D48" s="12"/>
      <c r="E48" s="10"/>
      <c r="F48" s="11"/>
      <c r="G48" s="62"/>
      <c r="H48" s="60"/>
      <c r="I48" s="63"/>
      <c r="J48" s="60"/>
    </row>
    <row r="49" spans="1:10" ht="21" customHeight="1" x14ac:dyDescent="0.25">
      <c r="A49" s="11"/>
      <c r="B49" s="12"/>
      <c r="C49" s="12"/>
      <c r="D49" s="12"/>
      <c r="E49" s="10"/>
      <c r="F49" s="11"/>
      <c r="G49" s="62"/>
      <c r="H49" s="60"/>
      <c r="I49" s="63"/>
      <c r="J49" s="60"/>
    </row>
    <row r="50" spans="1:10" ht="21" customHeight="1" x14ac:dyDescent="0.25">
      <c r="A50" s="11"/>
      <c r="B50" s="12"/>
      <c r="C50" s="12"/>
      <c r="D50" s="12"/>
      <c r="E50" s="10"/>
      <c r="F50" s="11"/>
      <c r="G50" s="62"/>
      <c r="H50" s="60"/>
      <c r="I50" s="63"/>
      <c r="J50" s="60"/>
    </row>
    <row r="51" spans="1:10" ht="21" customHeight="1" x14ac:dyDescent="0.25">
      <c r="A51" s="11"/>
      <c r="B51" s="12"/>
      <c r="C51" s="12"/>
      <c r="D51" s="12"/>
      <c r="E51" s="10"/>
      <c r="F51" s="11"/>
      <c r="G51" s="62"/>
      <c r="H51" s="60"/>
      <c r="I51" s="63"/>
      <c r="J51" s="60"/>
    </row>
    <row r="52" spans="1:10" ht="21" customHeight="1" x14ac:dyDescent="0.25">
      <c r="A52" s="11"/>
      <c r="B52" s="12"/>
      <c r="C52" s="12"/>
      <c r="D52" s="12"/>
      <c r="E52" s="10"/>
      <c r="F52" s="11"/>
      <c r="G52" s="62"/>
      <c r="H52" s="60"/>
      <c r="I52" s="63"/>
      <c r="J52" s="60"/>
    </row>
    <row r="53" spans="1:10" ht="21" customHeight="1" x14ac:dyDescent="0.25">
      <c r="A53" s="11"/>
      <c r="B53" s="12"/>
      <c r="C53" s="12"/>
      <c r="D53" s="12"/>
      <c r="E53" s="10"/>
      <c r="F53" s="11"/>
      <c r="G53" s="62"/>
      <c r="H53" s="60"/>
      <c r="I53" s="63"/>
      <c r="J53" s="60"/>
    </row>
    <row r="54" spans="1:10" ht="21" customHeight="1" x14ac:dyDescent="0.25">
      <c r="A54" s="11"/>
      <c r="B54" s="12"/>
      <c r="C54" s="12"/>
      <c r="D54" s="12"/>
      <c r="E54" s="10"/>
      <c r="F54" s="11"/>
      <c r="G54" s="62"/>
      <c r="H54" s="60"/>
      <c r="I54" s="63"/>
      <c r="J54" s="60"/>
    </row>
    <row r="55" spans="1:10" ht="21" customHeight="1" x14ac:dyDescent="0.25">
      <c r="A55" s="11"/>
      <c r="B55" s="12"/>
      <c r="C55" s="12"/>
      <c r="D55" s="12"/>
      <c r="E55" s="10"/>
      <c r="F55" s="11"/>
      <c r="G55" s="62"/>
      <c r="H55" s="60"/>
      <c r="I55" s="63"/>
      <c r="J55" s="60"/>
    </row>
    <row r="56" spans="1:10" ht="21" customHeight="1" x14ac:dyDescent="0.25">
      <c r="A56" s="11"/>
      <c r="B56" s="12"/>
      <c r="C56" s="12"/>
      <c r="D56" s="12"/>
      <c r="E56" s="10"/>
      <c r="F56" s="11"/>
      <c r="G56" s="62"/>
      <c r="H56" s="60"/>
      <c r="I56" s="63"/>
      <c r="J56" s="60"/>
    </row>
    <row r="57" spans="1:10" ht="21" customHeight="1" x14ac:dyDescent="0.25">
      <c r="A57" s="11"/>
      <c r="B57" s="12"/>
      <c r="C57" s="12"/>
      <c r="D57" s="12"/>
      <c r="E57" s="10"/>
      <c r="F57" s="11"/>
      <c r="G57" s="62"/>
      <c r="H57" s="60"/>
      <c r="I57" s="63"/>
      <c r="J57" s="60"/>
    </row>
    <row r="58" spans="1:10" ht="21" customHeight="1" x14ac:dyDescent="0.25">
      <c r="A58" s="11"/>
      <c r="B58" s="12"/>
      <c r="C58" s="12"/>
      <c r="D58" s="12"/>
      <c r="E58" s="10"/>
      <c r="F58" s="11"/>
      <c r="G58" s="62"/>
      <c r="H58" s="60"/>
      <c r="I58" s="63"/>
      <c r="J58" s="60"/>
    </row>
    <row r="59" spans="1:10" ht="21" customHeight="1" x14ac:dyDescent="0.25">
      <c r="A59" s="11"/>
      <c r="B59" s="12"/>
      <c r="C59" s="12"/>
      <c r="D59" s="12"/>
      <c r="E59" s="10"/>
      <c r="F59" s="11"/>
      <c r="G59" s="62"/>
      <c r="H59" s="60"/>
      <c r="I59" s="63"/>
      <c r="J59" s="60"/>
    </row>
    <row r="60" spans="1:10" ht="21" customHeight="1" x14ac:dyDescent="0.25">
      <c r="A60" s="11"/>
      <c r="B60" s="12"/>
      <c r="C60" s="12"/>
      <c r="D60" s="12"/>
      <c r="E60" s="10"/>
      <c r="F60" s="11"/>
      <c r="G60" s="62"/>
      <c r="H60" s="60"/>
      <c r="I60" s="63"/>
      <c r="J60" s="60"/>
    </row>
    <row r="61" spans="1:10" ht="21" customHeight="1" x14ac:dyDescent="0.25">
      <c r="A61" s="11"/>
      <c r="B61" s="12"/>
      <c r="C61" s="12"/>
      <c r="D61" s="12"/>
      <c r="E61" s="10"/>
      <c r="F61" s="11"/>
      <c r="G61" s="62"/>
      <c r="H61" s="60"/>
      <c r="I61" s="63"/>
      <c r="J61" s="60"/>
    </row>
    <row r="62" spans="1:10" ht="21" customHeight="1" x14ac:dyDescent="0.25">
      <c r="A62" s="11"/>
      <c r="B62" s="12"/>
      <c r="C62" s="12"/>
      <c r="D62" s="12"/>
      <c r="E62" s="10"/>
      <c r="F62" s="11"/>
      <c r="G62" s="62"/>
      <c r="H62" s="60"/>
      <c r="I62" s="63"/>
      <c r="J62" s="60"/>
    </row>
    <row r="63" spans="1:10" ht="21" customHeight="1" x14ac:dyDescent="0.25">
      <c r="A63" s="11"/>
      <c r="B63" s="12"/>
      <c r="C63" s="12"/>
      <c r="D63" s="12"/>
      <c r="E63" s="10"/>
      <c r="F63" s="11"/>
      <c r="G63" s="62"/>
      <c r="H63" s="60"/>
      <c r="I63" s="63"/>
      <c r="J63" s="60"/>
    </row>
    <row r="64" spans="1:10" ht="21" customHeight="1" x14ac:dyDescent="0.25">
      <c r="A64" s="11"/>
      <c r="B64" s="12"/>
      <c r="C64" s="12"/>
      <c r="D64" s="12"/>
      <c r="E64" s="10"/>
      <c r="F64" s="11"/>
      <c r="G64" s="62"/>
      <c r="H64" s="60"/>
      <c r="I64" s="63"/>
      <c r="J64" s="60"/>
    </row>
    <row r="65" spans="1:10" ht="21" customHeight="1" x14ac:dyDescent="0.25">
      <c r="A65" s="11"/>
      <c r="B65" s="12"/>
      <c r="C65" s="12"/>
      <c r="D65" s="12"/>
      <c r="E65" s="10"/>
      <c r="F65" s="11"/>
      <c r="G65" s="62"/>
      <c r="H65" s="60"/>
      <c r="I65" s="63"/>
      <c r="J65" s="60"/>
    </row>
    <row r="66" spans="1:10" ht="21" customHeight="1" x14ac:dyDescent="0.25">
      <c r="A66" s="11"/>
      <c r="B66" s="12"/>
      <c r="C66" s="12"/>
      <c r="D66" s="12"/>
      <c r="E66" s="10"/>
      <c r="F66" s="11"/>
      <c r="G66" s="62"/>
      <c r="H66" s="60"/>
      <c r="I66" s="63"/>
      <c r="J66" s="60"/>
    </row>
    <row r="67" spans="1:10" ht="21" customHeight="1" x14ac:dyDescent="0.25">
      <c r="A67" s="11"/>
      <c r="B67" s="12"/>
      <c r="C67" s="12"/>
      <c r="D67" s="12"/>
      <c r="E67" s="10"/>
      <c r="F67" s="11"/>
      <c r="G67" s="62"/>
      <c r="H67" s="60"/>
      <c r="I67" s="63"/>
      <c r="J67" s="60"/>
    </row>
    <row r="68" spans="1:10" ht="21" customHeight="1" x14ac:dyDescent="0.25">
      <c r="A68" s="11"/>
      <c r="B68" s="12"/>
      <c r="C68" s="12"/>
      <c r="D68" s="12"/>
      <c r="E68" s="10"/>
      <c r="F68" s="11"/>
      <c r="G68" s="62"/>
      <c r="H68" s="60"/>
      <c r="I68" s="63"/>
      <c r="J68" s="60"/>
    </row>
    <row r="69" spans="1:10" ht="21" customHeight="1" x14ac:dyDescent="0.25">
      <c r="A69" s="11"/>
      <c r="B69" s="12"/>
      <c r="C69" s="12"/>
      <c r="D69" s="12"/>
      <c r="E69" s="10"/>
      <c r="F69" s="11"/>
      <c r="G69" s="62"/>
      <c r="H69" s="60"/>
      <c r="I69" s="63"/>
      <c r="J69" s="60"/>
    </row>
    <row r="70" spans="1:10" ht="21" customHeight="1" x14ac:dyDescent="0.25">
      <c r="A70" s="11"/>
      <c r="B70" s="12"/>
      <c r="C70" s="12"/>
      <c r="D70" s="12"/>
      <c r="E70" s="10"/>
      <c r="F70" s="11"/>
      <c r="G70" s="62"/>
      <c r="H70" s="60"/>
      <c r="I70" s="63"/>
      <c r="J70" s="60"/>
    </row>
    <row r="71" spans="1:10" ht="21" customHeight="1" x14ac:dyDescent="0.25">
      <c r="A71" s="11"/>
      <c r="B71" s="12"/>
      <c r="C71" s="12"/>
      <c r="D71" s="12"/>
      <c r="E71" s="10"/>
      <c r="F71" s="11"/>
      <c r="G71" s="62"/>
      <c r="H71" s="60"/>
      <c r="I71" s="63"/>
      <c r="J71" s="60"/>
    </row>
    <row r="72" spans="1:10" ht="21" customHeight="1" x14ac:dyDescent="0.25">
      <c r="A72" s="11"/>
      <c r="B72" s="12"/>
      <c r="C72" s="12"/>
      <c r="D72" s="12"/>
      <c r="E72" s="10"/>
      <c r="F72" s="11"/>
      <c r="G72" s="62"/>
      <c r="H72" s="60"/>
      <c r="I72" s="63"/>
      <c r="J72" s="60"/>
    </row>
    <row r="73" spans="1:10" ht="21" customHeight="1" x14ac:dyDescent="0.25">
      <c r="A73" s="11"/>
      <c r="B73" s="12"/>
      <c r="C73" s="12"/>
      <c r="D73" s="12"/>
      <c r="E73" s="10"/>
      <c r="F73" s="11"/>
      <c r="G73" s="62"/>
      <c r="H73" s="60"/>
      <c r="I73" s="63"/>
      <c r="J73" s="60"/>
    </row>
    <row r="74" spans="1:10" ht="21" customHeight="1" x14ac:dyDescent="0.25">
      <c r="A74" s="11"/>
      <c r="B74" s="12"/>
      <c r="C74" s="12"/>
      <c r="D74" s="12"/>
      <c r="E74" s="10"/>
      <c r="F74" s="11"/>
      <c r="G74" s="62"/>
      <c r="H74" s="60"/>
      <c r="I74" s="63"/>
      <c r="J74" s="60"/>
    </row>
    <row r="75" spans="1:10" ht="21" customHeight="1" x14ac:dyDescent="0.25">
      <c r="A75" s="11"/>
      <c r="B75" s="12"/>
      <c r="C75" s="12"/>
      <c r="D75" s="12"/>
      <c r="E75" s="10"/>
      <c r="F75" s="11"/>
      <c r="G75" s="62"/>
      <c r="H75" s="60"/>
      <c r="I75" s="63"/>
      <c r="J75" s="60"/>
    </row>
    <row r="76" spans="1:10" ht="21" customHeight="1" x14ac:dyDescent="0.25">
      <c r="A76" s="11"/>
      <c r="B76" s="12"/>
      <c r="C76" s="12"/>
      <c r="D76" s="12"/>
      <c r="E76" s="10"/>
      <c r="F76" s="11"/>
      <c r="G76" s="62"/>
      <c r="H76" s="60"/>
      <c r="I76" s="63"/>
      <c r="J76" s="60"/>
    </row>
    <row r="77" spans="1:10" ht="21" customHeight="1" x14ac:dyDescent="0.25">
      <c r="A77" s="11"/>
      <c r="B77" s="12"/>
      <c r="C77" s="12"/>
      <c r="D77" s="12"/>
      <c r="E77" s="10"/>
      <c r="F77" s="11"/>
      <c r="G77" s="62"/>
      <c r="H77" s="60"/>
      <c r="I77" s="63"/>
      <c r="J77" s="60"/>
    </row>
    <row r="78" spans="1:10" ht="21" customHeight="1" x14ac:dyDescent="0.25">
      <c r="A78" s="11"/>
      <c r="B78" s="12"/>
      <c r="C78" s="12"/>
      <c r="D78" s="12"/>
      <c r="E78" s="10"/>
      <c r="F78" s="11"/>
      <c r="G78" s="62"/>
      <c r="H78" s="60"/>
      <c r="I78" s="63"/>
      <c r="J78" s="60"/>
    </row>
    <row r="79" spans="1:10" ht="21" customHeight="1" x14ac:dyDescent="0.25">
      <c r="A79" s="11"/>
      <c r="B79" s="12"/>
      <c r="C79" s="12"/>
      <c r="D79" s="12"/>
      <c r="E79" s="10"/>
      <c r="F79" s="11"/>
      <c r="G79" s="62"/>
      <c r="H79" s="60"/>
      <c r="I79" s="63"/>
      <c r="J79" s="60"/>
    </row>
    <row r="80" spans="1:10" ht="21" customHeight="1" x14ac:dyDescent="0.25">
      <c r="A80" s="11"/>
      <c r="B80" s="12"/>
      <c r="C80" s="12"/>
      <c r="D80" s="12"/>
      <c r="E80" s="10"/>
      <c r="F80" s="11"/>
      <c r="G80" s="62"/>
      <c r="H80" s="60"/>
      <c r="I80" s="63"/>
      <c r="J80" s="60"/>
    </row>
    <row r="81" spans="1:10" ht="21" customHeight="1" x14ac:dyDescent="0.25">
      <c r="A81" s="11"/>
      <c r="B81" s="12"/>
      <c r="C81" s="12"/>
      <c r="D81" s="12"/>
      <c r="E81" s="10"/>
      <c r="F81" s="11"/>
      <c r="G81" s="62"/>
      <c r="H81" s="60"/>
      <c r="I81" s="63"/>
      <c r="J81" s="60"/>
    </row>
    <row r="82" spans="1:10" ht="21" customHeight="1" x14ac:dyDescent="0.25">
      <c r="A82" s="11"/>
      <c r="B82" s="12"/>
      <c r="C82" s="12"/>
      <c r="D82" s="12"/>
      <c r="E82" s="10"/>
      <c r="F82" s="11"/>
      <c r="G82" s="62"/>
      <c r="H82" s="60"/>
      <c r="I82" s="63"/>
      <c r="J82" s="60"/>
    </row>
    <row r="83" spans="1:10" ht="21" customHeight="1" x14ac:dyDescent="0.25">
      <c r="A83" s="11"/>
      <c r="B83" s="12"/>
      <c r="C83" s="12"/>
      <c r="D83" s="12"/>
      <c r="E83" s="10"/>
      <c r="F83" s="11"/>
      <c r="G83" s="62"/>
      <c r="H83" s="60"/>
      <c r="I83" s="63"/>
      <c r="J83" s="60"/>
    </row>
    <row r="84" spans="1:10" ht="21" customHeight="1" x14ac:dyDescent="0.25">
      <c r="A84" s="11"/>
      <c r="B84" s="12"/>
      <c r="C84" s="12"/>
      <c r="D84" s="12"/>
      <c r="E84" s="10"/>
      <c r="F84" s="11"/>
      <c r="G84" s="62"/>
      <c r="H84" s="60"/>
      <c r="I84" s="63"/>
      <c r="J84" s="60"/>
    </row>
    <row r="85" spans="1:10" ht="21" customHeight="1" x14ac:dyDescent="0.25">
      <c r="A85" s="11"/>
      <c r="B85" s="12"/>
      <c r="C85" s="12"/>
      <c r="D85" s="12"/>
      <c r="E85" s="10"/>
      <c r="F85" s="11"/>
      <c r="G85" s="62"/>
      <c r="H85" s="60"/>
      <c r="I85" s="63"/>
      <c r="J85" s="60"/>
    </row>
    <row r="86" spans="1:10" ht="21" customHeight="1" x14ac:dyDescent="0.25">
      <c r="A86" s="11"/>
      <c r="B86" s="12"/>
      <c r="C86" s="12"/>
      <c r="D86" s="12"/>
      <c r="E86" s="10"/>
      <c r="F86" s="11"/>
      <c r="G86" s="62"/>
      <c r="H86" s="60"/>
      <c r="I86" s="63"/>
      <c r="J86" s="60"/>
    </row>
    <row r="87" spans="1:10" ht="21" customHeight="1" x14ac:dyDescent="0.25">
      <c r="A87" s="11"/>
      <c r="B87" s="12"/>
      <c r="C87" s="12"/>
      <c r="D87" s="12"/>
      <c r="E87" s="10"/>
      <c r="F87" s="11"/>
      <c r="G87" s="62"/>
      <c r="H87" s="60"/>
      <c r="I87" s="63"/>
      <c r="J87" s="60"/>
    </row>
    <row r="88" spans="1:10" ht="21" customHeight="1" x14ac:dyDescent="0.25">
      <c r="A88" s="11"/>
      <c r="B88" s="12"/>
      <c r="C88" s="12"/>
      <c r="D88" s="12"/>
      <c r="E88" s="10"/>
      <c r="F88" s="11"/>
      <c r="G88" s="62"/>
      <c r="H88" s="60"/>
      <c r="I88" s="63"/>
      <c r="J88" s="60"/>
    </row>
    <row r="89" spans="1:10" ht="21" customHeight="1" x14ac:dyDescent="0.25">
      <c r="A89" s="11"/>
      <c r="B89" s="12"/>
      <c r="C89" s="12"/>
      <c r="D89" s="12"/>
      <c r="E89" s="10"/>
      <c r="F89" s="11"/>
      <c r="G89" s="62"/>
      <c r="H89" s="60"/>
      <c r="I89" s="63"/>
      <c r="J89" s="60"/>
    </row>
    <row r="90" spans="1:10" ht="21" customHeight="1" x14ac:dyDescent="0.25">
      <c r="A90" s="11"/>
      <c r="B90" s="12"/>
      <c r="C90" s="12"/>
      <c r="D90" s="12"/>
      <c r="E90" s="10"/>
      <c r="F90" s="11"/>
      <c r="G90" s="62"/>
      <c r="H90" s="60"/>
      <c r="I90" s="63"/>
      <c r="J90" s="60"/>
    </row>
    <row r="91" spans="1:10" ht="21" customHeight="1" x14ac:dyDescent="0.25">
      <c r="A91" s="11"/>
      <c r="B91" s="12"/>
      <c r="C91" s="12"/>
      <c r="D91" s="12"/>
      <c r="E91" s="10"/>
      <c r="F91" s="11"/>
      <c r="G91" s="62"/>
      <c r="H91" s="60"/>
      <c r="I91" s="63"/>
      <c r="J91" s="60"/>
    </row>
    <row r="92" spans="1:10" ht="21" customHeight="1" x14ac:dyDescent="0.25">
      <c r="A92" s="11"/>
      <c r="B92" s="12"/>
      <c r="C92" s="12"/>
      <c r="D92" s="12"/>
      <c r="E92" s="10"/>
      <c r="F92" s="11"/>
      <c r="G92" s="62"/>
      <c r="H92" s="60"/>
      <c r="I92" s="63"/>
      <c r="J92" s="60"/>
    </row>
    <row r="93" spans="1:10" ht="21" customHeight="1" x14ac:dyDescent="0.25">
      <c r="A93" s="11"/>
      <c r="B93" s="12"/>
      <c r="C93" s="12"/>
      <c r="D93" s="12"/>
      <c r="E93" s="10"/>
      <c r="F93" s="11"/>
      <c r="G93" s="62"/>
      <c r="H93" s="60"/>
      <c r="I93" s="63"/>
      <c r="J93" s="60"/>
    </row>
    <row r="94" spans="1:10" ht="21" customHeight="1" x14ac:dyDescent="0.25">
      <c r="A94" s="11"/>
      <c r="B94" s="12"/>
      <c r="C94" s="12"/>
      <c r="D94" s="12"/>
      <c r="E94" s="10"/>
      <c r="F94" s="11"/>
      <c r="G94" s="62"/>
      <c r="H94" s="60"/>
      <c r="I94" s="63"/>
      <c r="J94" s="60"/>
    </row>
    <row r="95" spans="1:10" ht="21" customHeight="1" x14ac:dyDescent="0.25">
      <c r="A95" s="11"/>
      <c r="B95" s="12"/>
      <c r="C95" s="12"/>
      <c r="D95" s="12"/>
      <c r="E95" s="10"/>
      <c r="F95" s="11"/>
      <c r="G95" s="62"/>
      <c r="H95" s="60"/>
      <c r="I95" s="63"/>
      <c r="J95" s="60"/>
    </row>
    <row r="96" spans="1:10" ht="21" customHeight="1" x14ac:dyDescent="0.25">
      <c r="A96" s="11"/>
      <c r="B96" s="12"/>
      <c r="C96" s="12"/>
      <c r="D96" s="12"/>
      <c r="E96" s="10"/>
      <c r="F96" s="11"/>
      <c r="G96" s="62"/>
      <c r="H96" s="60"/>
      <c r="I96" s="63"/>
      <c r="J96" s="60"/>
    </row>
    <row r="97" spans="1:10" ht="21" customHeight="1" x14ac:dyDescent="0.25">
      <c r="A97" s="11"/>
      <c r="B97" s="12"/>
      <c r="C97" s="12"/>
      <c r="D97" s="12"/>
      <c r="E97" s="10"/>
      <c r="F97" s="11"/>
      <c r="G97" s="62"/>
      <c r="H97" s="60"/>
      <c r="I97" s="63"/>
      <c r="J97" s="60"/>
    </row>
    <row r="98" spans="1:10" ht="21" customHeight="1" x14ac:dyDescent="0.25">
      <c r="A98" s="11"/>
      <c r="B98" s="12"/>
      <c r="C98" s="12"/>
      <c r="D98" s="12"/>
      <c r="E98" s="10"/>
      <c r="F98" s="11"/>
      <c r="G98" s="62"/>
      <c r="H98" s="60"/>
      <c r="I98" s="63"/>
      <c r="J98" s="60"/>
    </row>
    <row r="99" spans="1:10" ht="21" customHeight="1" x14ac:dyDescent="0.25">
      <c r="A99" s="11"/>
      <c r="B99" s="12"/>
      <c r="C99" s="12"/>
      <c r="D99" s="12"/>
      <c r="E99" s="10"/>
      <c r="F99" s="11"/>
      <c r="G99" s="62"/>
      <c r="H99" s="60"/>
      <c r="I99" s="63"/>
      <c r="J99" s="60"/>
    </row>
    <row r="100" spans="1:10" ht="21" customHeight="1" x14ac:dyDescent="0.25">
      <c r="A100" s="11"/>
      <c r="B100" s="12"/>
      <c r="C100" s="12"/>
      <c r="D100" s="12"/>
      <c r="E100" s="10"/>
      <c r="F100" s="11"/>
      <c r="G100" s="62"/>
      <c r="H100" s="60"/>
      <c r="I100" s="63"/>
      <c r="J100" s="60"/>
    </row>
    <row r="101" spans="1:10" ht="21" customHeight="1" x14ac:dyDescent="0.25">
      <c r="A101" s="11"/>
      <c r="B101" s="12"/>
      <c r="C101" s="12"/>
      <c r="D101" s="12"/>
      <c r="E101" s="10"/>
      <c r="F101" s="11"/>
      <c r="G101" s="62"/>
      <c r="H101" s="60"/>
      <c r="I101" s="63"/>
      <c r="J101" s="60"/>
    </row>
    <row r="102" spans="1:10" ht="21" customHeight="1" x14ac:dyDescent="0.25">
      <c r="A102" s="11"/>
      <c r="B102" s="12"/>
      <c r="C102" s="12"/>
      <c r="D102" s="12"/>
      <c r="E102" s="10"/>
      <c r="F102" s="11"/>
      <c r="G102" s="62"/>
      <c r="H102" s="60"/>
      <c r="I102" s="63"/>
      <c r="J102" s="60"/>
    </row>
    <row r="103" spans="1:10" ht="21" customHeight="1" x14ac:dyDescent="0.25">
      <c r="A103" s="11"/>
      <c r="B103" s="12"/>
      <c r="C103" s="12"/>
      <c r="D103" s="12"/>
      <c r="E103" s="10"/>
      <c r="F103" s="11"/>
      <c r="G103" s="62"/>
      <c r="H103" s="60"/>
      <c r="I103" s="63"/>
      <c r="J103" s="60"/>
    </row>
    <row r="104" spans="1:10" ht="21" customHeight="1" x14ac:dyDescent="0.25">
      <c r="A104" s="11"/>
      <c r="B104" s="12"/>
      <c r="C104" s="12"/>
      <c r="D104" s="12"/>
      <c r="E104" s="10"/>
      <c r="F104" s="11"/>
      <c r="G104" s="62"/>
      <c r="H104" s="60"/>
      <c r="I104" s="63"/>
      <c r="J104" s="60"/>
    </row>
    <row r="105" spans="1:10" ht="21" customHeight="1" x14ac:dyDescent="0.25">
      <c r="A105" s="11"/>
      <c r="B105" s="12"/>
      <c r="C105" s="12"/>
      <c r="D105" s="12"/>
      <c r="E105" s="10"/>
      <c r="F105" s="11"/>
      <c r="G105" s="62"/>
      <c r="H105" s="60"/>
      <c r="I105" s="63"/>
      <c r="J105" s="60"/>
    </row>
    <row r="106" spans="1:10" ht="21" customHeight="1" x14ac:dyDescent="0.25">
      <c r="A106" s="11"/>
      <c r="B106" s="12"/>
      <c r="C106" s="12"/>
      <c r="D106" s="12"/>
      <c r="E106" s="10"/>
      <c r="F106" s="11"/>
      <c r="G106" s="62"/>
      <c r="H106" s="60"/>
      <c r="I106" s="63"/>
      <c r="J106" s="60"/>
    </row>
    <row r="107" spans="1:10" ht="21" customHeight="1" x14ac:dyDescent="0.25">
      <c r="A107" s="11"/>
      <c r="B107" s="12"/>
      <c r="C107" s="12"/>
      <c r="D107" s="12"/>
      <c r="E107" s="10"/>
      <c r="F107" s="11"/>
      <c r="G107" s="62"/>
      <c r="H107" s="60"/>
      <c r="I107" s="63"/>
      <c r="J107" s="60"/>
    </row>
    <row r="108" spans="1:10" ht="21" customHeight="1" x14ac:dyDescent="0.25">
      <c r="A108" s="11"/>
      <c r="B108" s="12"/>
      <c r="C108" s="12"/>
      <c r="D108" s="12"/>
      <c r="E108" s="10"/>
      <c r="F108" s="11"/>
      <c r="G108" s="62"/>
      <c r="H108" s="60"/>
      <c r="I108" s="63"/>
      <c r="J108" s="60"/>
    </row>
    <row r="109" spans="1:10" ht="21" customHeight="1" x14ac:dyDescent="0.25">
      <c r="A109" s="11"/>
      <c r="B109" s="12"/>
      <c r="C109" s="12"/>
      <c r="D109" s="12"/>
      <c r="E109" s="10"/>
      <c r="F109" s="11"/>
      <c r="G109" s="62"/>
      <c r="H109" s="60"/>
      <c r="I109" s="63"/>
      <c r="J109" s="60"/>
    </row>
    <row r="110" spans="1:10" ht="21" customHeight="1" x14ac:dyDescent="0.25">
      <c r="A110" s="11"/>
      <c r="B110" s="12"/>
      <c r="C110" s="12"/>
      <c r="D110" s="12"/>
      <c r="E110" s="10"/>
      <c r="F110" s="11"/>
      <c r="G110" s="62"/>
      <c r="H110" s="60"/>
      <c r="I110" s="63"/>
      <c r="J110" s="60"/>
    </row>
    <row r="111" spans="1:10" ht="21" customHeight="1" x14ac:dyDescent="0.25">
      <c r="A111" s="11"/>
      <c r="B111" s="12"/>
      <c r="C111" s="12"/>
      <c r="D111" s="12"/>
      <c r="E111" s="10"/>
      <c r="F111" s="11"/>
      <c r="G111" s="62"/>
      <c r="H111" s="60"/>
      <c r="I111" s="63"/>
      <c r="J111" s="60"/>
    </row>
    <row r="112" spans="1:10" ht="21" customHeight="1" x14ac:dyDescent="0.25">
      <c r="A112" s="11"/>
      <c r="B112" s="12"/>
      <c r="C112" s="12"/>
      <c r="D112" s="12"/>
      <c r="E112" s="10"/>
      <c r="F112" s="11"/>
      <c r="G112" s="62"/>
      <c r="H112" s="60"/>
      <c r="I112" s="63"/>
      <c r="J112" s="60"/>
    </row>
    <row r="113" spans="1:10" ht="21" customHeight="1" x14ac:dyDescent="0.25">
      <c r="A113" s="11"/>
      <c r="B113" s="12"/>
      <c r="C113" s="12"/>
      <c r="D113" s="12"/>
      <c r="E113" s="10"/>
      <c r="F113" s="11"/>
      <c r="G113" s="62"/>
      <c r="H113" s="60"/>
      <c r="I113" s="63"/>
      <c r="J113" s="60"/>
    </row>
    <row r="114" spans="1:10" ht="21" customHeight="1" x14ac:dyDescent="0.25">
      <c r="A114" s="11"/>
      <c r="B114" s="12"/>
      <c r="C114" s="12"/>
      <c r="D114" s="12"/>
      <c r="E114" s="10"/>
      <c r="F114" s="11"/>
      <c r="G114" s="62"/>
      <c r="H114" s="60"/>
      <c r="I114" s="63"/>
      <c r="J114" s="60"/>
    </row>
    <row r="115" spans="1:10" ht="21" customHeight="1" x14ac:dyDescent="0.25">
      <c r="A115" s="11"/>
      <c r="B115" s="12"/>
      <c r="C115" s="12"/>
      <c r="D115" s="12"/>
      <c r="E115" s="10"/>
      <c r="F115" s="11"/>
      <c r="G115" s="62"/>
      <c r="H115" s="60"/>
      <c r="I115" s="63"/>
      <c r="J115" s="60"/>
    </row>
    <row r="116" spans="1:10" ht="21" customHeight="1" x14ac:dyDescent="0.25">
      <c r="A116" s="11"/>
      <c r="B116" s="12"/>
      <c r="C116" s="12"/>
      <c r="D116" s="12"/>
      <c r="E116" s="10"/>
      <c r="F116" s="11"/>
      <c r="G116" s="62"/>
      <c r="H116" s="60"/>
      <c r="I116" s="63"/>
      <c r="J116" s="60"/>
    </row>
    <row r="117" spans="1:10" ht="21" customHeight="1" x14ac:dyDescent="0.25">
      <c r="A117" s="11"/>
      <c r="B117" s="12"/>
      <c r="C117" s="12"/>
      <c r="D117" s="12"/>
      <c r="E117" s="10"/>
      <c r="F117" s="11"/>
      <c r="G117" s="62"/>
      <c r="H117" s="60"/>
      <c r="I117" s="63"/>
      <c r="J117" s="60"/>
    </row>
  </sheetData>
  <mergeCells count="5">
    <mergeCell ref="A44:I44"/>
    <mergeCell ref="I1:J1"/>
    <mergeCell ref="B1:H1"/>
    <mergeCell ref="B41:B42"/>
    <mergeCell ref="B4:B40"/>
  </mergeCells>
  <printOptions horizontalCentered="1"/>
  <pageMargins left="0.25" right="0.25" top="0.25" bottom="0.25" header="0" footer="0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29F9-E83C-4383-B967-308267DC4D80}">
  <sheetPr>
    <pageSetUpPr fitToPage="1"/>
  </sheetPr>
  <dimension ref="A1:O228"/>
  <sheetViews>
    <sheetView topLeftCell="A19" zoomScale="85" zoomScaleNormal="85" workbookViewId="0">
      <selection activeCell="E8" sqref="E8"/>
    </sheetView>
  </sheetViews>
  <sheetFormatPr defaultColWidth="14.42578125" defaultRowHeight="21" customHeight="1" x14ac:dyDescent="0.25"/>
  <cols>
    <col min="1" max="1" width="6.7109375" style="1" customWidth="1"/>
    <col min="2" max="2" width="19.7109375" style="1" customWidth="1"/>
    <col min="3" max="3" width="22.5703125" style="1" customWidth="1"/>
    <col min="4" max="4" width="16.140625" style="1" bestFit="1" customWidth="1"/>
    <col min="5" max="5" width="62.28515625" style="1" bestFit="1" customWidth="1"/>
    <col min="6" max="6" width="16.85546875" style="4" customWidth="1"/>
    <col min="7" max="8" width="11.7109375" style="1" customWidth="1"/>
    <col min="9" max="10" width="12.7109375" style="1" customWidth="1"/>
    <col min="11" max="11" width="10.85546875" style="108" customWidth="1"/>
    <col min="12" max="12" width="13.42578125" style="108" bestFit="1" customWidth="1"/>
    <col min="13" max="13" width="14.42578125" style="108"/>
    <col min="14" max="14" width="11.7109375" style="108" customWidth="1"/>
    <col min="15" max="16384" width="14.42578125" style="1"/>
  </cols>
  <sheetData>
    <row r="1" spans="1:15" ht="21" customHeight="1" x14ac:dyDescent="0.25">
      <c r="A1" s="1" t="s">
        <v>0</v>
      </c>
      <c r="B1" s="379" t="s">
        <v>9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2"/>
      <c r="E2" s="3"/>
      <c r="F2" s="41"/>
      <c r="G2" s="17"/>
      <c r="H2" s="13"/>
      <c r="I2" s="5"/>
      <c r="J2" s="4"/>
    </row>
    <row r="3" spans="1:15" ht="42" customHeight="1" x14ac:dyDescent="0.25">
      <c r="A3" s="6" t="s">
        <v>30</v>
      </c>
      <c r="B3" s="6" t="s">
        <v>17</v>
      </c>
      <c r="C3" s="6" t="s">
        <v>18</v>
      </c>
      <c r="D3" s="6" t="s">
        <v>19</v>
      </c>
      <c r="E3" s="7" t="s">
        <v>20</v>
      </c>
      <c r="F3" s="8" t="s">
        <v>55</v>
      </c>
      <c r="G3" s="8" t="s">
        <v>21</v>
      </c>
      <c r="H3" s="6" t="s">
        <v>22</v>
      </c>
      <c r="I3" s="9" t="s">
        <v>23</v>
      </c>
      <c r="J3" s="6" t="s">
        <v>24</v>
      </c>
      <c r="K3" s="303"/>
      <c r="L3" s="303"/>
      <c r="M3" s="339"/>
      <c r="N3" s="303"/>
    </row>
    <row r="4" spans="1:15" s="24" customFormat="1" ht="34.15" customHeight="1" x14ac:dyDescent="0.25">
      <c r="A4" s="14">
        <v>1</v>
      </c>
      <c r="B4" s="100" t="s">
        <v>25</v>
      </c>
      <c r="C4" s="47">
        <v>9415007058090</v>
      </c>
      <c r="D4" s="45">
        <v>772533</v>
      </c>
      <c r="E4" s="221" t="s">
        <v>197</v>
      </c>
      <c r="F4" s="46">
        <v>12</v>
      </c>
      <c r="G4" s="27">
        <v>14.95</v>
      </c>
      <c r="H4" s="27">
        <v>14.95</v>
      </c>
      <c r="I4" s="28">
        <v>48</v>
      </c>
      <c r="J4" s="33">
        <f>I4*H4</f>
        <v>717.59999999999991</v>
      </c>
      <c r="K4" s="366"/>
      <c r="L4" s="108"/>
      <c r="M4" s="222"/>
      <c r="N4" s="108"/>
      <c r="O4" s="233"/>
    </row>
    <row r="5" spans="1:15" s="309" customFormat="1" ht="34.15" customHeight="1" x14ac:dyDescent="0.25">
      <c r="A5" s="14">
        <v>2</v>
      </c>
      <c r="B5" s="389" t="s">
        <v>396</v>
      </c>
      <c r="C5" s="117">
        <v>8888626174372</v>
      </c>
      <c r="D5" s="287">
        <v>433088</v>
      </c>
      <c r="E5" s="121" t="s">
        <v>294</v>
      </c>
      <c r="F5" s="308">
        <v>24</v>
      </c>
      <c r="G5" s="27">
        <v>0.75</v>
      </c>
      <c r="H5" s="27">
        <v>0.75</v>
      </c>
      <c r="I5" s="28">
        <v>48</v>
      </c>
      <c r="J5" s="33">
        <f>I5*H5</f>
        <v>36</v>
      </c>
      <c r="K5" s="366"/>
      <c r="L5" s="108"/>
      <c r="M5" s="222"/>
      <c r="N5" s="108"/>
      <c r="O5" s="233"/>
    </row>
    <row r="6" spans="1:15" s="309" customFormat="1" ht="34.15" customHeight="1" x14ac:dyDescent="0.25">
      <c r="A6" s="14">
        <v>3</v>
      </c>
      <c r="B6" s="390"/>
      <c r="C6" s="117">
        <v>8888626174365</v>
      </c>
      <c r="D6" s="287">
        <v>433086</v>
      </c>
      <c r="E6" s="302" t="s">
        <v>293</v>
      </c>
      <c r="F6" s="308">
        <v>24</v>
      </c>
      <c r="G6" s="27">
        <v>0.75</v>
      </c>
      <c r="H6" s="27">
        <v>0.75</v>
      </c>
      <c r="I6" s="28">
        <v>48</v>
      </c>
      <c r="J6" s="33">
        <f>I6*H6</f>
        <v>36</v>
      </c>
      <c r="K6" s="366"/>
      <c r="L6" s="108"/>
      <c r="M6" s="222"/>
      <c r="N6" s="108"/>
      <c r="O6" s="233"/>
    </row>
    <row r="7" spans="1:15" s="309" customFormat="1" ht="34.15" customHeight="1" x14ac:dyDescent="0.25">
      <c r="A7" s="14">
        <v>4</v>
      </c>
      <c r="B7" s="390"/>
      <c r="C7" s="47">
        <v>8888626167947</v>
      </c>
      <c r="D7" s="45">
        <v>432763</v>
      </c>
      <c r="E7" s="221" t="s">
        <v>257</v>
      </c>
      <c r="F7" s="46">
        <v>6</v>
      </c>
      <c r="G7" s="27">
        <v>1.9</v>
      </c>
      <c r="H7" s="27">
        <v>1.9</v>
      </c>
      <c r="I7" s="28">
        <v>318</v>
      </c>
      <c r="J7" s="33">
        <f t="shared" ref="J7:J27" si="0">I7*H7</f>
        <v>604.19999999999993</v>
      </c>
      <c r="K7" s="366"/>
      <c r="L7" s="108"/>
      <c r="M7" s="222"/>
      <c r="N7" s="108"/>
      <c r="O7" s="233"/>
    </row>
    <row r="8" spans="1:15" s="309" customFormat="1" ht="34.15" customHeight="1" x14ac:dyDescent="0.25">
      <c r="A8" s="14">
        <v>5</v>
      </c>
      <c r="B8" s="390"/>
      <c r="C8" s="47">
        <v>8888626167954</v>
      </c>
      <c r="D8" s="45">
        <v>432764</v>
      </c>
      <c r="E8" s="221" t="s">
        <v>340</v>
      </c>
      <c r="F8" s="46">
        <v>6</v>
      </c>
      <c r="G8" s="27">
        <v>1.9</v>
      </c>
      <c r="H8" s="27">
        <v>1.9</v>
      </c>
      <c r="I8" s="28">
        <v>84</v>
      </c>
      <c r="J8" s="33">
        <f t="shared" si="0"/>
        <v>159.6</v>
      </c>
      <c r="K8" s="366"/>
      <c r="L8" s="108"/>
      <c r="M8" s="222"/>
      <c r="N8" s="108"/>
      <c r="O8" s="233"/>
    </row>
    <row r="9" spans="1:15" s="272" customFormat="1" ht="37.15" customHeight="1" x14ac:dyDescent="0.25">
      <c r="A9" s="14">
        <v>6</v>
      </c>
      <c r="B9" s="390"/>
      <c r="C9" s="25" t="s">
        <v>148</v>
      </c>
      <c r="D9" s="185">
        <v>770022</v>
      </c>
      <c r="E9" s="26" t="s">
        <v>139</v>
      </c>
      <c r="F9" s="111">
        <v>12</v>
      </c>
      <c r="G9" s="27">
        <v>2</v>
      </c>
      <c r="H9" s="27">
        <v>2</v>
      </c>
      <c r="I9" s="28">
        <v>180</v>
      </c>
      <c r="J9" s="33">
        <f t="shared" si="0"/>
        <v>360</v>
      </c>
      <c r="K9" s="366"/>
      <c r="L9" s="108"/>
      <c r="M9" s="222"/>
      <c r="N9" s="108"/>
      <c r="O9" s="233"/>
    </row>
    <row r="10" spans="1:15" s="55" customFormat="1" ht="28.9" customHeight="1" x14ac:dyDescent="0.25">
      <c r="A10" s="14">
        <v>7</v>
      </c>
      <c r="B10" s="390"/>
      <c r="C10" s="25">
        <v>8888626144375</v>
      </c>
      <c r="D10" s="185">
        <v>431206</v>
      </c>
      <c r="E10" s="26" t="s">
        <v>144</v>
      </c>
      <c r="F10" s="111">
        <v>24</v>
      </c>
      <c r="G10" s="27">
        <v>6.5</v>
      </c>
      <c r="H10" s="27">
        <v>6.5</v>
      </c>
      <c r="I10" s="28">
        <v>48</v>
      </c>
      <c r="J10" s="33">
        <f t="shared" si="0"/>
        <v>312</v>
      </c>
      <c r="K10" s="366"/>
      <c r="L10" s="108"/>
      <c r="M10" s="222"/>
      <c r="N10" s="108"/>
      <c r="O10" s="233"/>
    </row>
    <row r="11" spans="1:15" ht="36" customHeight="1" x14ac:dyDescent="0.25">
      <c r="A11" s="14">
        <v>8</v>
      </c>
      <c r="B11" s="390"/>
      <c r="C11" s="25">
        <v>8888626174419</v>
      </c>
      <c r="D11" s="301">
        <v>433098</v>
      </c>
      <c r="E11" s="26" t="s">
        <v>278</v>
      </c>
      <c r="F11" s="248">
        <v>24</v>
      </c>
      <c r="G11" s="27">
        <v>0.95</v>
      </c>
      <c r="H11" s="27">
        <v>0.95</v>
      </c>
      <c r="I11" s="28">
        <v>24</v>
      </c>
      <c r="J11" s="33">
        <f t="shared" si="0"/>
        <v>22.799999999999997</v>
      </c>
      <c r="K11" s="366"/>
      <c r="M11" s="222"/>
      <c r="O11" s="233"/>
    </row>
    <row r="12" spans="1:15" s="134" customFormat="1" ht="21" customHeight="1" x14ac:dyDescent="0.25">
      <c r="A12" s="14">
        <v>9</v>
      </c>
      <c r="B12" s="390"/>
      <c r="C12" s="25">
        <v>8888626174419</v>
      </c>
      <c r="D12" s="301">
        <v>433100</v>
      </c>
      <c r="E12" s="26" t="s">
        <v>279</v>
      </c>
      <c r="F12" s="248">
        <v>24</v>
      </c>
      <c r="G12" s="27">
        <v>0.95</v>
      </c>
      <c r="H12" s="27">
        <v>0.95</v>
      </c>
      <c r="I12" s="28">
        <v>72</v>
      </c>
      <c r="J12" s="33">
        <f t="shared" si="0"/>
        <v>68.399999999999991</v>
      </c>
      <c r="K12" s="366"/>
      <c r="L12" s="108"/>
      <c r="M12" s="222"/>
      <c r="N12" s="108"/>
      <c r="O12" s="233"/>
    </row>
    <row r="13" spans="1:15" s="153" customFormat="1" ht="21" customHeight="1" x14ac:dyDescent="0.25">
      <c r="A13" s="14">
        <v>10</v>
      </c>
      <c r="B13" s="390"/>
      <c r="C13" s="25">
        <v>8888626174402</v>
      </c>
      <c r="D13" s="301">
        <v>433102</v>
      </c>
      <c r="E13" s="26" t="s">
        <v>280</v>
      </c>
      <c r="F13" s="248">
        <v>24</v>
      </c>
      <c r="G13" s="27">
        <v>0.95</v>
      </c>
      <c r="H13" s="27">
        <v>0.95</v>
      </c>
      <c r="I13" s="28">
        <v>48</v>
      </c>
      <c r="J13" s="33">
        <f t="shared" si="0"/>
        <v>45.599999999999994</v>
      </c>
      <c r="K13" s="366"/>
      <c r="L13" s="108"/>
      <c r="M13" s="222"/>
      <c r="N13" s="108"/>
      <c r="O13" s="233"/>
    </row>
    <row r="14" spans="1:15" s="212" customFormat="1" ht="21" customHeight="1" x14ac:dyDescent="0.25">
      <c r="A14" s="14">
        <v>11</v>
      </c>
      <c r="B14" s="390"/>
      <c r="C14" s="25">
        <v>8888626174389</v>
      </c>
      <c r="D14" s="301">
        <v>433104</v>
      </c>
      <c r="E14" s="26" t="s">
        <v>281</v>
      </c>
      <c r="F14" s="248">
        <v>24</v>
      </c>
      <c r="G14" s="27">
        <v>0.95</v>
      </c>
      <c r="H14" s="27">
        <v>0.95</v>
      </c>
      <c r="I14" s="28">
        <v>72</v>
      </c>
      <c r="J14" s="33">
        <f t="shared" si="0"/>
        <v>68.399999999999991</v>
      </c>
      <c r="K14" s="366"/>
      <c r="L14" s="108"/>
      <c r="M14" s="222"/>
      <c r="N14" s="108"/>
      <c r="O14" s="233"/>
    </row>
    <row r="15" spans="1:15" s="174" customFormat="1" ht="21" customHeight="1" x14ac:dyDescent="0.25">
      <c r="A15" s="14">
        <v>12</v>
      </c>
      <c r="B15" s="390"/>
      <c r="C15" s="117">
        <v>8888626167756</v>
      </c>
      <c r="D15" s="214">
        <v>432419</v>
      </c>
      <c r="E15" s="121" t="s">
        <v>204</v>
      </c>
      <c r="F15" s="216">
        <v>24</v>
      </c>
      <c r="G15" s="27">
        <v>5.95</v>
      </c>
      <c r="H15" s="27">
        <v>5.95</v>
      </c>
      <c r="I15" s="28">
        <v>24</v>
      </c>
      <c r="J15" s="33">
        <f t="shared" si="0"/>
        <v>142.80000000000001</v>
      </c>
      <c r="K15" s="366"/>
      <c r="L15" s="108"/>
      <c r="M15" s="222"/>
      <c r="N15" s="108"/>
      <c r="O15" s="233"/>
    </row>
    <row r="16" spans="1:15" s="126" customFormat="1" ht="21" customHeight="1" x14ac:dyDescent="0.25">
      <c r="A16" s="14">
        <v>13</v>
      </c>
      <c r="B16" s="390"/>
      <c r="C16" s="117">
        <v>8888626150536</v>
      </c>
      <c r="D16" s="214">
        <v>431526</v>
      </c>
      <c r="E16" s="121" t="s">
        <v>199</v>
      </c>
      <c r="F16" s="216">
        <v>6</v>
      </c>
      <c r="G16" s="304">
        <v>10.95</v>
      </c>
      <c r="H16" s="304">
        <v>10.95</v>
      </c>
      <c r="I16" s="28">
        <v>48</v>
      </c>
      <c r="J16" s="33">
        <f t="shared" si="0"/>
        <v>525.59999999999991</v>
      </c>
      <c r="K16" s="366"/>
      <c r="L16" s="108"/>
      <c r="M16" s="222"/>
      <c r="N16" s="108"/>
      <c r="O16" s="233"/>
    </row>
    <row r="17" spans="1:15" s="142" customFormat="1" ht="21" customHeight="1" x14ac:dyDescent="0.25">
      <c r="A17" s="14">
        <v>14</v>
      </c>
      <c r="B17" s="390"/>
      <c r="C17" s="25">
        <v>9557305000576</v>
      </c>
      <c r="D17" s="185">
        <v>425092</v>
      </c>
      <c r="E17" s="26" t="s">
        <v>146</v>
      </c>
      <c r="F17" s="111">
        <v>12</v>
      </c>
      <c r="G17" s="27">
        <v>1.2</v>
      </c>
      <c r="H17" s="27">
        <v>1.2</v>
      </c>
      <c r="I17" s="28">
        <v>108</v>
      </c>
      <c r="J17" s="33">
        <f t="shared" si="0"/>
        <v>129.6</v>
      </c>
      <c r="K17" s="366"/>
      <c r="L17" s="108"/>
      <c r="M17" s="222"/>
      <c r="N17" s="108"/>
      <c r="O17" s="233"/>
    </row>
    <row r="18" spans="1:15" s="142" customFormat="1" ht="21" customHeight="1" x14ac:dyDescent="0.25">
      <c r="A18" s="14">
        <v>15</v>
      </c>
      <c r="B18" s="390"/>
      <c r="C18" s="25">
        <v>8888026445003</v>
      </c>
      <c r="D18" s="185">
        <v>428747</v>
      </c>
      <c r="E18" s="26" t="s">
        <v>143</v>
      </c>
      <c r="F18" s="111">
        <v>4</v>
      </c>
      <c r="G18" s="27">
        <v>3.75</v>
      </c>
      <c r="H18" s="27">
        <v>3.75</v>
      </c>
      <c r="I18" s="28">
        <v>100</v>
      </c>
      <c r="J18" s="33">
        <f t="shared" si="0"/>
        <v>375</v>
      </c>
      <c r="K18" s="366"/>
      <c r="L18" s="108"/>
      <c r="M18" s="222"/>
      <c r="N18" s="108"/>
      <c r="O18" s="233"/>
    </row>
    <row r="19" spans="1:15" s="93" customFormat="1" ht="21" customHeight="1" x14ac:dyDescent="0.25">
      <c r="A19" s="14">
        <v>16</v>
      </c>
      <c r="B19" s="390"/>
      <c r="C19" s="117">
        <v>8888626167756</v>
      </c>
      <c r="D19" s="287">
        <v>432419</v>
      </c>
      <c r="E19" s="121" t="s">
        <v>204</v>
      </c>
      <c r="F19" s="308">
        <v>24</v>
      </c>
      <c r="G19" s="307">
        <v>5.95</v>
      </c>
      <c r="H19" s="307">
        <v>5.95</v>
      </c>
      <c r="I19" s="332">
        <v>24</v>
      </c>
      <c r="J19" s="33">
        <f t="shared" si="0"/>
        <v>142.80000000000001</v>
      </c>
      <c r="K19" s="366"/>
      <c r="L19" s="108"/>
      <c r="M19" s="222"/>
      <c r="N19" s="108"/>
      <c r="O19" s="233"/>
    </row>
    <row r="20" spans="1:15" s="189" customFormat="1" ht="21" customHeight="1" x14ac:dyDescent="0.25">
      <c r="A20" s="14">
        <v>17</v>
      </c>
      <c r="B20" s="390"/>
      <c r="C20" s="25">
        <v>8888626155104</v>
      </c>
      <c r="D20" s="213">
        <v>485509</v>
      </c>
      <c r="E20" s="182" t="s">
        <v>200</v>
      </c>
      <c r="F20" s="111">
        <v>12</v>
      </c>
      <c r="G20" s="27">
        <v>5.2</v>
      </c>
      <c r="H20" s="27">
        <v>5.2</v>
      </c>
      <c r="I20" s="28">
        <v>24</v>
      </c>
      <c r="J20" s="33">
        <f t="shared" si="0"/>
        <v>124.80000000000001</v>
      </c>
      <c r="K20" s="366"/>
      <c r="L20" s="108"/>
      <c r="M20" s="222"/>
      <c r="N20" s="108"/>
      <c r="O20" s="233"/>
    </row>
    <row r="21" spans="1:15" ht="34.9" customHeight="1" x14ac:dyDescent="0.25">
      <c r="A21" s="14">
        <v>18</v>
      </c>
      <c r="B21" s="390"/>
      <c r="C21" s="25">
        <v>8888626141138</v>
      </c>
      <c r="D21" s="185">
        <v>430793</v>
      </c>
      <c r="E21" s="26" t="s">
        <v>96</v>
      </c>
      <c r="F21" s="111">
        <v>20</v>
      </c>
      <c r="G21" s="27">
        <v>3.65</v>
      </c>
      <c r="H21" s="27">
        <v>3.65</v>
      </c>
      <c r="I21" s="28">
        <v>40</v>
      </c>
      <c r="J21" s="33">
        <f t="shared" si="0"/>
        <v>146</v>
      </c>
      <c r="K21" s="366"/>
      <c r="M21" s="222"/>
      <c r="O21" s="233"/>
    </row>
    <row r="22" spans="1:15" s="83" customFormat="1" ht="21" customHeight="1" x14ac:dyDescent="0.25">
      <c r="A22" s="14">
        <v>19</v>
      </c>
      <c r="B22" s="390"/>
      <c r="C22" s="25">
        <v>8888626143477</v>
      </c>
      <c r="D22" s="185">
        <v>431065</v>
      </c>
      <c r="E22" s="26" t="s">
        <v>87</v>
      </c>
      <c r="F22" s="111">
        <v>12</v>
      </c>
      <c r="G22" s="27">
        <v>3</v>
      </c>
      <c r="H22" s="27">
        <v>3</v>
      </c>
      <c r="I22" s="28">
        <v>72</v>
      </c>
      <c r="J22" s="33">
        <f t="shared" si="0"/>
        <v>216</v>
      </c>
      <c r="K22" s="366"/>
      <c r="L22" s="108"/>
      <c r="M22" s="222"/>
      <c r="N22" s="108"/>
      <c r="O22" s="233"/>
    </row>
    <row r="23" spans="1:15" s="128" customFormat="1" ht="21" customHeight="1" x14ac:dyDescent="0.25">
      <c r="A23" s="14">
        <v>20</v>
      </c>
      <c r="B23" s="390"/>
      <c r="C23" s="25">
        <v>8888626143484</v>
      </c>
      <c r="D23" s="337">
        <v>431066</v>
      </c>
      <c r="E23" s="26" t="s">
        <v>342</v>
      </c>
      <c r="F23" s="248">
        <v>12</v>
      </c>
      <c r="G23" s="27">
        <v>3</v>
      </c>
      <c r="H23" s="27">
        <v>3</v>
      </c>
      <c r="I23" s="28">
        <v>36</v>
      </c>
      <c r="J23" s="33">
        <f t="shared" si="0"/>
        <v>108</v>
      </c>
      <c r="K23" s="366"/>
      <c r="L23" s="108"/>
      <c r="M23" s="222"/>
      <c r="N23" s="108"/>
      <c r="O23" s="233"/>
    </row>
    <row r="24" spans="1:15" ht="30" customHeight="1" x14ac:dyDescent="0.25">
      <c r="A24" s="14">
        <v>21</v>
      </c>
      <c r="B24" s="391"/>
      <c r="C24" s="25">
        <v>8888626160436</v>
      </c>
      <c r="D24" s="234">
        <v>432032</v>
      </c>
      <c r="E24" s="331" t="s">
        <v>184</v>
      </c>
      <c r="F24" s="236">
        <v>12</v>
      </c>
      <c r="G24" s="27">
        <v>2.5</v>
      </c>
      <c r="H24" s="27">
        <v>2.5</v>
      </c>
      <c r="I24" s="28">
        <v>180</v>
      </c>
      <c r="J24" s="33">
        <f t="shared" si="0"/>
        <v>450</v>
      </c>
      <c r="K24" s="366"/>
      <c r="M24" s="222"/>
      <c r="O24" s="233"/>
    </row>
    <row r="25" spans="1:15" ht="36" customHeight="1" x14ac:dyDescent="0.25">
      <c r="A25" s="14">
        <v>22</v>
      </c>
      <c r="B25" s="387" t="s">
        <v>173</v>
      </c>
      <c r="C25" s="25">
        <v>8888626174976</v>
      </c>
      <c r="D25" s="321">
        <v>772590</v>
      </c>
      <c r="E25" s="138" t="s">
        <v>341</v>
      </c>
      <c r="F25" s="248">
        <v>12</v>
      </c>
      <c r="G25" s="27">
        <v>2.5</v>
      </c>
      <c r="H25" s="27">
        <v>2.5</v>
      </c>
      <c r="I25" s="28">
        <v>24</v>
      </c>
      <c r="J25" s="33">
        <f t="shared" si="0"/>
        <v>60</v>
      </c>
      <c r="K25" s="366"/>
      <c r="M25" s="222"/>
      <c r="O25" s="233"/>
    </row>
    <row r="26" spans="1:15" s="176" customFormat="1" ht="31.5" x14ac:dyDescent="0.25">
      <c r="A26" s="14">
        <v>23</v>
      </c>
      <c r="B26" s="388"/>
      <c r="C26" s="25" t="s">
        <v>162</v>
      </c>
      <c r="D26" s="185">
        <v>770219</v>
      </c>
      <c r="E26" s="26" t="s">
        <v>163</v>
      </c>
      <c r="F26" s="111">
        <v>48</v>
      </c>
      <c r="G26" s="27">
        <v>1.35</v>
      </c>
      <c r="H26" s="27">
        <v>1.35</v>
      </c>
      <c r="I26" s="28">
        <v>192</v>
      </c>
      <c r="J26" s="33">
        <f t="shared" si="0"/>
        <v>259.20000000000005</v>
      </c>
      <c r="K26" s="366"/>
      <c r="L26" s="108"/>
      <c r="M26" s="222"/>
      <c r="N26" s="108"/>
      <c r="O26" s="233"/>
    </row>
    <row r="27" spans="1:15" s="176" customFormat="1" ht="21" customHeight="1" x14ac:dyDescent="0.25">
      <c r="A27" s="14">
        <v>24</v>
      </c>
      <c r="B27" s="279" t="s">
        <v>169</v>
      </c>
      <c r="C27" s="25">
        <v>8888626159874</v>
      </c>
      <c r="D27" s="276">
        <v>431917</v>
      </c>
      <c r="E27" s="239" t="s">
        <v>205</v>
      </c>
      <c r="F27" s="248">
        <v>12</v>
      </c>
      <c r="G27" s="27">
        <v>4.45</v>
      </c>
      <c r="H27" s="27">
        <v>4.45</v>
      </c>
      <c r="I27" s="28">
        <v>24</v>
      </c>
      <c r="J27" s="280">
        <f t="shared" si="0"/>
        <v>106.80000000000001</v>
      </c>
      <c r="K27" s="366"/>
      <c r="L27" s="108"/>
      <c r="M27" s="222"/>
      <c r="N27" s="108"/>
      <c r="O27" s="233"/>
    </row>
    <row r="28" spans="1:15" s="176" customFormat="1" ht="21" customHeight="1" x14ac:dyDescent="0.25">
      <c r="A28" s="372" t="s">
        <v>16</v>
      </c>
      <c r="B28" s="375"/>
      <c r="C28" s="375"/>
      <c r="D28" s="375"/>
      <c r="E28" s="375"/>
      <c r="F28" s="375"/>
      <c r="G28" s="375"/>
      <c r="H28" s="375"/>
      <c r="I28" s="385"/>
      <c r="J28" s="152">
        <f>SUM(J4:J27)</f>
        <v>5217.2000000000007</v>
      </c>
      <c r="K28" s="108"/>
      <c r="L28" s="108"/>
      <c r="M28" s="108"/>
      <c r="N28" s="108"/>
    </row>
    <row r="29" spans="1:15" s="176" customFormat="1" ht="21" customHeight="1" x14ac:dyDescent="0.25">
      <c r="A29" s="11"/>
      <c r="B29" s="12"/>
      <c r="C29" s="12"/>
      <c r="D29" s="12"/>
      <c r="E29" s="10"/>
      <c r="F29" s="11"/>
      <c r="G29" s="11"/>
      <c r="H29" s="13"/>
      <c r="I29" s="5"/>
      <c r="J29" s="11"/>
      <c r="K29" s="108"/>
      <c r="L29" s="108"/>
      <c r="M29" s="108"/>
      <c r="N29" s="108"/>
    </row>
    <row r="30" spans="1:15" ht="21" customHeight="1" x14ac:dyDescent="0.25">
      <c r="A30" s="11"/>
      <c r="B30" s="12"/>
      <c r="C30" s="12"/>
      <c r="D30" s="12"/>
      <c r="E30" s="10"/>
      <c r="F30" s="11"/>
      <c r="G30" s="11"/>
      <c r="H30" s="13"/>
      <c r="I30" s="5"/>
      <c r="J30" s="11"/>
    </row>
    <row r="31" spans="1:15" ht="21" customHeight="1" x14ac:dyDescent="0.25">
      <c r="A31" s="11"/>
      <c r="B31" s="12"/>
      <c r="C31" s="12"/>
      <c r="D31" s="12"/>
      <c r="E31" s="10"/>
      <c r="F31" s="11"/>
      <c r="G31" s="11"/>
      <c r="H31" s="13"/>
      <c r="I31" s="5"/>
      <c r="J31" s="11"/>
    </row>
    <row r="32" spans="1:15" ht="21" customHeight="1" x14ac:dyDescent="0.25">
      <c r="A32" s="11"/>
      <c r="B32" s="12"/>
      <c r="C32" s="12"/>
      <c r="D32" s="12"/>
      <c r="E32" s="10"/>
      <c r="F32" s="11"/>
      <c r="G32" s="11"/>
      <c r="H32" s="13"/>
      <c r="I32" s="5"/>
      <c r="J32" s="11"/>
    </row>
    <row r="33" spans="1:10" ht="21" customHeight="1" x14ac:dyDescent="0.25">
      <c r="A33" s="11"/>
      <c r="B33" s="12"/>
      <c r="C33" s="12"/>
      <c r="D33" s="12"/>
      <c r="E33" s="10"/>
      <c r="F33" s="11"/>
      <c r="G33" s="11"/>
      <c r="H33" s="13"/>
      <c r="I33" s="5"/>
      <c r="J33" s="11"/>
    </row>
    <row r="34" spans="1:10" ht="21" customHeight="1" x14ac:dyDescent="0.25">
      <c r="A34" s="11"/>
      <c r="B34" s="12"/>
      <c r="C34" s="12"/>
      <c r="D34" s="12"/>
      <c r="E34" s="10"/>
      <c r="F34" s="11"/>
      <c r="G34" s="11"/>
      <c r="H34" s="13"/>
      <c r="I34" s="5"/>
      <c r="J34" s="11"/>
    </row>
    <row r="35" spans="1:10" ht="21" customHeight="1" x14ac:dyDescent="0.25">
      <c r="A35" s="11"/>
      <c r="B35" s="12"/>
      <c r="C35" s="12"/>
      <c r="D35" s="12"/>
      <c r="E35" s="10"/>
      <c r="F35" s="11"/>
      <c r="G35" s="11"/>
      <c r="H35" s="13"/>
      <c r="I35" s="5"/>
      <c r="J35" s="11"/>
    </row>
    <row r="36" spans="1:10" ht="21" customHeight="1" x14ac:dyDescent="0.25">
      <c r="A36" s="11"/>
      <c r="B36" s="12"/>
      <c r="C36" s="12"/>
      <c r="D36" s="12"/>
      <c r="E36" s="10"/>
      <c r="F36" s="11"/>
      <c r="G36" s="11"/>
      <c r="H36" s="13"/>
      <c r="I36" s="5"/>
      <c r="J36" s="11"/>
    </row>
    <row r="37" spans="1:10" ht="21" customHeight="1" x14ac:dyDescent="0.25">
      <c r="A37" s="11"/>
      <c r="B37" s="12"/>
      <c r="C37" s="12"/>
      <c r="D37" s="12"/>
      <c r="E37" s="10"/>
      <c r="F37" s="11"/>
      <c r="G37" s="11"/>
      <c r="H37" s="13"/>
      <c r="I37" s="5"/>
      <c r="J37" s="11"/>
    </row>
    <row r="38" spans="1:10" ht="21" customHeight="1" x14ac:dyDescent="0.25">
      <c r="A38" s="11"/>
      <c r="B38" s="12"/>
      <c r="C38" s="12"/>
      <c r="D38" s="12"/>
      <c r="E38" s="10"/>
      <c r="F38" s="11"/>
      <c r="G38" s="11"/>
      <c r="H38" s="13"/>
      <c r="I38" s="5"/>
      <c r="J38" s="11"/>
    </row>
    <row r="39" spans="1:10" ht="21" customHeight="1" x14ac:dyDescent="0.25">
      <c r="A39" s="11"/>
      <c r="B39" s="12"/>
      <c r="C39" s="12"/>
      <c r="D39" s="12"/>
      <c r="E39" s="10"/>
      <c r="F39" s="11"/>
      <c r="G39" s="11"/>
      <c r="H39" s="13"/>
      <c r="I39" s="5"/>
      <c r="J39" s="11"/>
    </row>
    <row r="40" spans="1:10" ht="21" customHeight="1" x14ac:dyDescent="0.25">
      <c r="A40" s="11"/>
      <c r="B40" s="12"/>
      <c r="C40" s="12"/>
      <c r="D40" s="12"/>
      <c r="E40" s="10"/>
      <c r="F40" s="11"/>
      <c r="G40" s="11"/>
      <c r="H40" s="13"/>
      <c r="I40" s="5"/>
      <c r="J40" s="11"/>
    </row>
    <row r="41" spans="1:10" ht="21" customHeight="1" x14ac:dyDescent="0.25">
      <c r="A41" s="11"/>
      <c r="B41" s="12"/>
      <c r="C41" s="12"/>
      <c r="D41" s="12"/>
      <c r="E41" s="10"/>
      <c r="F41" s="11"/>
      <c r="G41" s="11"/>
      <c r="H41" s="13"/>
      <c r="I41" s="5"/>
      <c r="J41" s="11"/>
    </row>
    <row r="42" spans="1:10" ht="21" customHeight="1" x14ac:dyDescent="0.25">
      <c r="A42" s="11"/>
      <c r="B42" s="12"/>
      <c r="C42" s="12"/>
      <c r="D42" s="12"/>
      <c r="E42" s="10"/>
      <c r="F42" s="11"/>
      <c r="G42" s="11"/>
      <c r="H42" s="13"/>
      <c r="I42" s="5"/>
      <c r="J42" s="11"/>
    </row>
    <row r="43" spans="1:10" ht="21" customHeight="1" x14ac:dyDescent="0.25">
      <c r="A43" s="11"/>
      <c r="B43" s="12"/>
      <c r="C43" s="12"/>
      <c r="D43" s="12"/>
      <c r="E43" s="10"/>
      <c r="F43" s="11"/>
      <c r="G43" s="11"/>
      <c r="H43" s="13"/>
      <c r="I43" s="5"/>
      <c r="J43" s="11"/>
    </row>
    <row r="44" spans="1:10" ht="21" customHeight="1" x14ac:dyDescent="0.25">
      <c r="A44" s="11"/>
      <c r="B44" s="12"/>
      <c r="C44" s="12"/>
      <c r="D44" s="12"/>
      <c r="E44" s="10"/>
      <c r="F44" s="11"/>
      <c r="G44" s="11"/>
      <c r="H44" s="13"/>
      <c r="I44" s="5"/>
      <c r="J44" s="11"/>
    </row>
    <row r="45" spans="1:10" ht="21" customHeight="1" x14ac:dyDescent="0.25">
      <c r="A45" s="11"/>
      <c r="B45" s="12"/>
      <c r="C45" s="12"/>
      <c r="D45" s="12"/>
      <c r="E45" s="10"/>
      <c r="F45" s="11"/>
      <c r="G45" s="11"/>
      <c r="H45" s="13"/>
      <c r="I45" s="5"/>
      <c r="J45" s="11"/>
    </row>
    <row r="46" spans="1:10" ht="21" customHeight="1" x14ac:dyDescent="0.25">
      <c r="A46" s="11"/>
      <c r="B46" s="12"/>
      <c r="C46" s="12"/>
      <c r="D46" s="12"/>
      <c r="E46" s="10"/>
      <c r="F46" s="11"/>
      <c r="G46" s="11"/>
      <c r="H46" s="13"/>
      <c r="I46" s="5"/>
      <c r="J46" s="11"/>
    </row>
    <row r="47" spans="1:10" ht="21" customHeight="1" x14ac:dyDescent="0.25">
      <c r="A47" s="11"/>
      <c r="B47" s="12"/>
      <c r="C47" s="12"/>
      <c r="D47" s="12"/>
      <c r="E47" s="10"/>
      <c r="F47" s="11"/>
      <c r="G47" s="11"/>
      <c r="H47" s="13"/>
      <c r="I47" s="5"/>
      <c r="J47" s="11"/>
    </row>
    <row r="48" spans="1:10" ht="21" customHeight="1" x14ac:dyDescent="0.25">
      <c r="A48" s="11"/>
      <c r="B48" s="12"/>
      <c r="C48" s="12"/>
      <c r="D48" s="12"/>
      <c r="E48" s="10"/>
      <c r="F48" s="11"/>
      <c r="G48" s="11"/>
      <c r="H48" s="13"/>
      <c r="I48" s="5"/>
      <c r="J48" s="11"/>
    </row>
    <row r="49" spans="1:10" ht="21" customHeight="1" x14ac:dyDescent="0.25">
      <c r="A49" s="11"/>
      <c r="B49" s="12"/>
      <c r="C49" s="12"/>
      <c r="D49" s="12"/>
      <c r="E49" s="10"/>
      <c r="F49" s="11"/>
      <c r="G49" s="11"/>
      <c r="H49" s="13"/>
      <c r="I49" s="5"/>
      <c r="J49" s="11"/>
    </row>
    <row r="50" spans="1:10" ht="21" customHeight="1" x14ac:dyDescent="0.25">
      <c r="A50" s="11"/>
      <c r="B50" s="12"/>
      <c r="C50" s="12"/>
      <c r="D50" s="12"/>
      <c r="E50" s="10"/>
      <c r="F50" s="11"/>
      <c r="G50" s="11"/>
      <c r="H50" s="13"/>
      <c r="I50" s="5"/>
      <c r="J50" s="11"/>
    </row>
    <row r="51" spans="1:10" ht="21" customHeight="1" x14ac:dyDescent="0.25">
      <c r="A51" s="11"/>
      <c r="B51" s="12"/>
      <c r="C51" s="12"/>
      <c r="D51" s="12"/>
      <c r="E51" s="10"/>
      <c r="F51" s="11"/>
      <c r="G51" s="11"/>
      <c r="H51" s="13"/>
      <c r="I51" s="5"/>
      <c r="J51" s="11"/>
    </row>
    <row r="52" spans="1:10" ht="21" customHeight="1" x14ac:dyDescent="0.25">
      <c r="A52" s="11"/>
      <c r="B52" s="12"/>
      <c r="C52" s="12"/>
      <c r="D52" s="12"/>
      <c r="E52" s="10"/>
      <c r="F52" s="11"/>
      <c r="G52" s="11"/>
      <c r="H52" s="13"/>
      <c r="I52" s="5"/>
      <c r="J52" s="11"/>
    </row>
    <row r="53" spans="1:10" ht="21" customHeight="1" x14ac:dyDescent="0.25">
      <c r="A53" s="11"/>
      <c r="B53" s="12"/>
      <c r="C53" s="12"/>
      <c r="D53" s="12"/>
      <c r="E53" s="10"/>
      <c r="F53" s="11"/>
      <c r="G53" s="11"/>
      <c r="H53" s="13"/>
      <c r="I53" s="5"/>
      <c r="J53" s="11"/>
    </row>
    <row r="54" spans="1:10" ht="21" customHeight="1" x14ac:dyDescent="0.25">
      <c r="A54" s="11"/>
      <c r="B54" s="12"/>
      <c r="C54" s="12"/>
      <c r="D54" s="12"/>
      <c r="E54" s="10"/>
      <c r="F54" s="11"/>
      <c r="G54" s="11"/>
      <c r="H54" s="13"/>
      <c r="I54" s="5"/>
      <c r="J54" s="11"/>
    </row>
    <row r="55" spans="1:10" ht="21" customHeight="1" x14ac:dyDescent="0.25">
      <c r="A55" s="11"/>
      <c r="B55" s="12"/>
      <c r="C55" s="12"/>
      <c r="D55" s="12"/>
      <c r="E55" s="10"/>
      <c r="F55" s="11"/>
      <c r="G55" s="11"/>
      <c r="H55" s="13"/>
      <c r="I55" s="5"/>
      <c r="J55" s="11"/>
    </row>
    <row r="56" spans="1:10" ht="21" customHeight="1" x14ac:dyDescent="0.25">
      <c r="A56" s="11"/>
      <c r="B56" s="12"/>
      <c r="C56" s="12"/>
      <c r="D56" s="12"/>
      <c r="E56" s="10"/>
      <c r="F56" s="11"/>
      <c r="G56" s="11"/>
      <c r="H56" s="13"/>
      <c r="I56" s="5"/>
      <c r="J56" s="11"/>
    </row>
    <row r="57" spans="1:10" ht="21" customHeight="1" x14ac:dyDescent="0.25">
      <c r="A57" s="11"/>
      <c r="B57" s="12"/>
      <c r="C57" s="12"/>
      <c r="D57" s="12"/>
      <c r="E57" s="10"/>
      <c r="F57" s="11"/>
      <c r="G57" s="11"/>
      <c r="H57" s="13"/>
      <c r="I57" s="5"/>
      <c r="J57" s="11"/>
    </row>
    <row r="58" spans="1:10" ht="21" customHeight="1" x14ac:dyDescent="0.25">
      <c r="A58" s="11"/>
      <c r="B58" s="12"/>
      <c r="C58" s="12"/>
      <c r="D58" s="12"/>
      <c r="E58" s="10"/>
      <c r="F58" s="11"/>
      <c r="G58" s="11"/>
      <c r="H58" s="13"/>
      <c r="I58" s="5"/>
      <c r="J58" s="11"/>
    </row>
    <row r="59" spans="1:10" ht="21" customHeight="1" x14ac:dyDescent="0.25">
      <c r="A59" s="11"/>
      <c r="B59" s="12"/>
      <c r="C59" s="12"/>
      <c r="D59" s="12"/>
      <c r="E59" s="10"/>
      <c r="F59" s="11"/>
      <c r="G59" s="11"/>
      <c r="H59" s="13"/>
      <c r="I59" s="5"/>
      <c r="J59" s="11"/>
    </row>
    <row r="60" spans="1:10" ht="21" customHeight="1" x14ac:dyDescent="0.25">
      <c r="A60" s="11"/>
      <c r="B60" s="12"/>
      <c r="C60" s="12"/>
      <c r="D60" s="12"/>
      <c r="E60" s="10"/>
      <c r="F60" s="11"/>
      <c r="G60" s="11"/>
      <c r="H60" s="13"/>
      <c r="I60" s="5"/>
      <c r="J60" s="11"/>
    </row>
    <row r="61" spans="1:10" ht="21" customHeight="1" x14ac:dyDescent="0.25">
      <c r="A61" s="11"/>
      <c r="B61" s="12"/>
      <c r="C61" s="12"/>
      <c r="D61" s="12"/>
      <c r="E61" s="10"/>
      <c r="F61" s="11"/>
      <c r="G61" s="11"/>
      <c r="H61" s="13"/>
      <c r="I61" s="5"/>
      <c r="J61" s="11"/>
    </row>
    <row r="62" spans="1:10" ht="21" customHeight="1" x14ac:dyDescent="0.25">
      <c r="A62" s="11"/>
      <c r="B62" s="12"/>
      <c r="C62" s="12"/>
      <c r="D62" s="12"/>
      <c r="E62" s="10"/>
      <c r="F62" s="11"/>
      <c r="G62" s="11"/>
      <c r="H62" s="13"/>
      <c r="I62" s="5"/>
      <c r="J62" s="11"/>
    </row>
    <row r="63" spans="1:10" ht="21" customHeight="1" x14ac:dyDescent="0.25">
      <c r="A63" s="11"/>
      <c r="B63" s="12"/>
      <c r="C63" s="12"/>
      <c r="D63" s="12"/>
      <c r="E63" s="10"/>
      <c r="F63" s="11"/>
      <c r="G63" s="11"/>
      <c r="H63" s="13"/>
      <c r="I63" s="5"/>
      <c r="J63" s="11"/>
    </row>
    <row r="64" spans="1:10" ht="21" customHeight="1" x14ac:dyDescent="0.25">
      <c r="A64" s="11"/>
      <c r="B64" s="12"/>
      <c r="C64" s="12"/>
      <c r="D64" s="12"/>
      <c r="E64" s="10"/>
      <c r="F64" s="11"/>
      <c r="G64" s="11"/>
      <c r="H64" s="13"/>
      <c r="I64" s="5"/>
      <c r="J64" s="11"/>
    </row>
    <row r="65" spans="1:10" ht="21" customHeight="1" x14ac:dyDescent="0.25">
      <c r="A65" s="11"/>
      <c r="B65" s="12"/>
      <c r="C65" s="12"/>
      <c r="D65" s="12"/>
      <c r="E65" s="10"/>
      <c r="F65" s="11"/>
      <c r="G65" s="11"/>
      <c r="H65" s="13"/>
      <c r="I65" s="5"/>
      <c r="J65" s="11"/>
    </row>
    <row r="66" spans="1:10" ht="21" customHeight="1" x14ac:dyDescent="0.25">
      <c r="A66" s="11"/>
      <c r="B66" s="12"/>
      <c r="C66" s="12"/>
      <c r="D66" s="12"/>
      <c r="E66" s="10"/>
      <c r="F66" s="11"/>
      <c r="G66" s="11"/>
      <c r="H66" s="13"/>
      <c r="I66" s="5"/>
      <c r="J66" s="11"/>
    </row>
    <row r="67" spans="1:10" ht="21" customHeight="1" x14ac:dyDescent="0.25">
      <c r="A67" s="11"/>
      <c r="B67" s="12"/>
      <c r="C67" s="12"/>
      <c r="D67" s="12"/>
      <c r="E67" s="10"/>
      <c r="F67" s="11"/>
      <c r="G67" s="11"/>
      <c r="H67" s="13"/>
      <c r="I67" s="5"/>
      <c r="J67" s="11"/>
    </row>
    <row r="68" spans="1:10" ht="21" customHeight="1" x14ac:dyDescent="0.25">
      <c r="A68" s="11"/>
      <c r="B68" s="12"/>
      <c r="C68" s="12"/>
      <c r="D68" s="12"/>
      <c r="E68" s="10"/>
      <c r="F68" s="11"/>
      <c r="G68" s="11"/>
      <c r="H68" s="13"/>
      <c r="I68" s="5"/>
      <c r="J68" s="11"/>
    </row>
    <row r="69" spans="1:10" ht="21" customHeight="1" x14ac:dyDescent="0.25">
      <c r="A69" s="11"/>
      <c r="B69" s="12"/>
      <c r="C69" s="12"/>
      <c r="D69" s="12"/>
      <c r="E69" s="10"/>
      <c r="F69" s="11"/>
      <c r="G69" s="11"/>
      <c r="H69" s="13"/>
      <c r="I69" s="5"/>
      <c r="J69" s="11"/>
    </row>
    <row r="70" spans="1:10" ht="21" customHeight="1" x14ac:dyDescent="0.25">
      <c r="A70" s="11"/>
      <c r="B70" s="12"/>
      <c r="C70" s="12"/>
      <c r="D70" s="12"/>
      <c r="E70" s="10"/>
      <c r="F70" s="11"/>
      <c r="G70" s="11"/>
      <c r="H70" s="13"/>
      <c r="I70" s="5"/>
      <c r="J70" s="11"/>
    </row>
    <row r="71" spans="1:10" ht="21" customHeight="1" x14ac:dyDescent="0.25">
      <c r="A71" s="11"/>
      <c r="B71" s="12"/>
      <c r="C71" s="12"/>
      <c r="D71" s="12"/>
      <c r="E71" s="10"/>
      <c r="F71" s="11"/>
      <c r="G71" s="11"/>
      <c r="H71" s="13"/>
      <c r="I71" s="5"/>
      <c r="J71" s="11"/>
    </row>
    <row r="72" spans="1:10" ht="21" customHeight="1" x14ac:dyDescent="0.25">
      <c r="A72" s="11"/>
      <c r="B72" s="12"/>
      <c r="C72" s="12"/>
      <c r="D72" s="12"/>
      <c r="E72" s="10"/>
      <c r="F72" s="11"/>
      <c r="G72" s="11"/>
      <c r="H72" s="13"/>
      <c r="I72" s="5"/>
      <c r="J72" s="11"/>
    </row>
    <row r="73" spans="1:10" ht="21" customHeight="1" x14ac:dyDescent="0.25">
      <c r="A73" s="11"/>
      <c r="B73" s="12"/>
      <c r="C73" s="12"/>
      <c r="D73" s="12"/>
      <c r="E73" s="10"/>
      <c r="F73" s="11"/>
      <c r="G73" s="11"/>
      <c r="H73" s="13"/>
      <c r="I73" s="5"/>
      <c r="J73" s="11"/>
    </row>
    <row r="74" spans="1:10" ht="21" customHeight="1" x14ac:dyDescent="0.25">
      <c r="A74" s="11"/>
      <c r="B74" s="12"/>
      <c r="C74" s="12"/>
      <c r="D74" s="12"/>
      <c r="E74" s="10"/>
      <c r="F74" s="11"/>
      <c r="G74" s="11"/>
      <c r="H74" s="13"/>
      <c r="I74" s="5"/>
      <c r="J74" s="11"/>
    </row>
    <row r="75" spans="1:10" ht="21" customHeight="1" x14ac:dyDescent="0.25">
      <c r="A75" s="11"/>
      <c r="B75" s="12"/>
      <c r="C75" s="12"/>
      <c r="D75" s="12"/>
      <c r="E75" s="10"/>
      <c r="F75" s="11"/>
      <c r="G75" s="11"/>
      <c r="H75" s="13"/>
      <c r="I75" s="5"/>
      <c r="J75" s="11"/>
    </row>
    <row r="76" spans="1:10" ht="21" customHeight="1" x14ac:dyDescent="0.25">
      <c r="A76" s="11"/>
      <c r="B76" s="12"/>
      <c r="C76" s="12"/>
      <c r="D76" s="12"/>
      <c r="E76" s="10"/>
      <c r="F76" s="11"/>
      <c r="G76" s="11"/>
      <c r="H76" s="13"/>
      <c r="I76" s="5"/>
      <c r="J76" s="11"/>
    </row>
    <row r="77" spans="1:10" ht="21" customHeight="1" x14ac:dyDescent="0.25">
      <c r="A77" s="11"/>
      <c r="B77" s="12"/>
      <c r="C77" s="12"/>
      <c r="D77" s="12"/>
      <c r="E77" s="10"/>
      <c r="F77" s="11"/>
      <c r="G77" s="11"/>
      <c r="H77" s="13"/>
      <c r="I77" s="5"/>
      <c r="J77" s="11"/>
    </row>
    <row r="78" spans="1:10" ht="21" customHeight="1" x14ac:dyDescent="0.25">
      <c r="A78" s="11"/>
      <c r="B78" s="12"/>
      <c r="C78" s="12"/>
      <c r="D78" s="12"/>
      <c r="E78" s="10"/>
      <c r="F78" s="11"/>
      <c r="G78" s="11"/>
      <c r="H78" s="13"/>
      <c r="I78" s="5"/>
      <c r="J78" s="11"/>
    </row>
    <row r="79" spans="1:10" ht="21" customHeight="1" x14ac:dyDescent="0.25">
      <c r="A79" s="11"/>
      <c r="B79" s="12"/>
      <c r="C79" s="12"/>
      <c r="D79" s="12"/>
      <c r="E79" s="10"/>
      <c r="F79" s="11"/>
      <c r="G79" s="11"/>
      <c r="H79" s="13"/>
      <c r="I79" s="5"/>
      <c r="J79" s="11"/>
    </row>
    <row r="80" spans="1:10" ht="21" customHeight="1" x14ac:dyDescent="0.25">
      <c r="A80" s="11"/>
      <c r="B80" s="12"/>
      <c r="C80" s="12"/>
      <c r="D80" s="12"/>
      <c r="E80" s="10"/>
      <c r="F80" s="11"/>
      <c r="G80" s="11"/>
      <c r="H80" s="13"/>
      <c r="I80" s="5"/>
      <c r="J80" s="11"/>
    </row>
    <row r="81" spans="1:10" ht="21" customHeight="1" x14ac:dyDescent="0.25">
      <c r="A81" s="11"/>
      <c r="B81" s="12"/>
      <c r="C81" s="12"/>
      <c r="D81" s="12"/>
      <c r="E81" s="10"/>
      <c r="F81" s="11"/>
      <c r="G81" s="11"/>
      <c r="H81" s="13"/>
      <c r="I81" s="5"/>
      <c r="J81" s="11"/>
    </row>
    <row r="82" spans="1:10" ht="21" customHeight="1" x14ac:dyDescent="0.25">
      <c r="A82" s="11"/>
      <c r="B82" s="12"/>
      <c r="C82" s="12"/>
      <c r="D82" s="12"/>
      <c r="E82" s="10"/>
      <c r="F82" s="11"/>
      <c r="G82" s="11"/>
      <c r="H82" s="13"/>
      <c r="I82" s="5"/>
      <c r="J82" s="11"/>
    </row>
    <row r="83" spans="1:10" ht="21" customHeight="1" x14ac:dyDescent="0.25">
      <c r="A83" s="11"/>
      <c r="B83" s="12"/>
      <c r="C83" s="12"/>
      <c r="D83" s="12"/>
      <c r="E83" s="10"/>
      <c r="F83" s="11"/>
      <c r="G83" s="11"/>
      <c r="H83" s="13"/>
      <c r="I83" s="5"/>
      <c r="J83" s="11"/>
    </row>
    <row r="84" spans="1:10" ht="21" customHeight="1" x14ac:dyDescent="0.25">
      <c r="A84" s="11"/>
      <c r="B84" s="12"/>
      <c r="C84" s="12"/>
      <c r="D84" s="12"/>
      <c r="E84" s="10"/>
      <c r="F84" s="11"/>
      <c r="G84" s="11"/>
      <c r="H84" s="13"/>
      <c r="I84" s="5"/>
      <c r="J84" s="11"/>
    </row>
    <row r="85" spans="1:10" ht="21" customHeight="1" x14ac:dyDescent="0.25">
      <c r="A85" s="11"/>
      <c r="B85" s="12"/>
      <c r="C85" s="12"/>
      <c r="D85" s="12"/>
      <c r="E85" s="10"/>
      <c r="F85" s="11"/>
      <c r="G85" s="11"/>
      <c r="H85" s="13"/>
      <c r="I85" s="5"/>
      <c r="J85" s="11"/>
    </row>
    <row r="86" spans="1:10" ht="21" customHeight="1" x14ac:dyDescent="0.25">
      <c r="A86" s="11"/>
      <c r="B86" s="12"/>
      <c r="C86" s="12"/>
      <c r="D86" s="12"/>
      <c r="E86" s="10"/>
      <c r="F86" s="11"/>
      <c r="G86" s="11"/>
      <c r="H86" s="13"/>
      <c r="I86" s="5"/>
      <c r="J86" s="11"/>
    </row>
    <row r="87" spans="1:10" ht="21" customHeight="1" x14ac:dyDescent="0.25">
      <c r="A87" s="11"/>
      <c r="B87" s="12"/>
      <c r="C87" s="12"/>
      <c r="D87" s="12"/>
      <c r="E87" s="10"/>
      <c r="F87" s="11"/>
      <c r="G87" s="11"/>
      <c r="H87" s="13"/>
      <c r="I87" s="5"/>
      <c r="J87" s="11"/>
    </row>
    <row r="88" spans="1:10" ht="21" customHeight="1" x14ac:dyDescent="0.25">
      <c r="A88" s="11"/>
      <c r="B88" s="12"/>
      <c r="C88" s="12"/>
      <c r="D88" s="12"/>
      <c r="E88" s="10"/>
      <c r="F88" s="11"/>
      <c r="G88" s="11"/>
      <c r="H88" s="13"/>
      <c r="I88" s="5"/>
      <c r="J88" s="11"/>
    </row>
    <row r="89" spans="1:10" ht="21" customHeight="1" x14ac:dyDescent="0.25">
      <c r="A89" s="11"/>
      <c r="B89" s="12"/>
      <c r="C89" s="12"/>
      <c r="D89" s="12"/>
      <c r="E89" s="10"/>
      <c r="F89" s="11"/>
      <c r="G89" s="11"/>
      <c r="H89" s="13"/>
      <c r="I89" s="5"/>
      <c r="J89" s="11"/>
    </row>
    <row r="90" spans="1:10" ht="21" customHeight="1" x14ac:dyDescent="0.25">
      <c r="A90" s="11"/>
      <c r="B90" s="12"/>
      <c r="C90" s="12"/>
      <c r="D90" s="12"/>
      <c r="E90" s="10"/>
      <c r="F90" s="11"/>
      <c r="G90" s="11"/>
      <c r="H90" s="13"/>
      <c r="I90" s="5"/>
      <c r="J90" s="11"/>
    </row>
    <row r="91" spans="1:10" ht="21" customHeight="1" x14ac:dyDescent="0.25">
      <c r="A91" s="11"/>
      <c r="B91" s="12"/>
      <c r="C91" s="12"/>
      <c r="D91" s="12"/>
      <c r="E91" s="10"/>
      <c r="F91" s="11"/>
      <c r="G91" s="11"/>
      <c r="H91" s="13"/>
      <c r="I91" s="5"/>
      <c r="J91" s="11"/>
    </row>
    <row r="92" spans="1:10" ht="21" customHeight="1" x14ac:dyDescent="0.25">
      <c r="A92" s="11"/>
      <c r="B92" s="12"/>
      <c r="C92" s="12"/>
      <c r="D92" s="12"/>
      <c r="E92" s="10"/>
      <c r="F92" s="11"/>
      <c r="G92" s="11"/>
      <c r="H92" s="13"/>
      <c r="I92" s="5"/>
      <c r="J92" s="11"/>
    </row>
    <row r="93" spans="1:10" ht="21" customHeight="1" x14ac:dyDescent="0.25">
      <c r="A93" s="11"/>
      <c r="B93" s="12"/>
      <c r="C93" s="12"/>
      <c r="D93" s="12"/>
      <c r="E93" s="10"/>
      <c r="F93" s="11"/>
      <c r="G93" s="11"/>
      <c r="H93" s="13"/>
      <c r="I93" s="5"/>
      <c r="J93" s="11"/>
    </row>
    <row r="94" spans="1:10" ht="21" customHeight="1" x14ac:dyDescent="0.25">
      <c r="A94" s="11"/>
      <c r="B94" s="12"/>
      <c r="C94" s="12"/>
      <c r="D94" s="12"/>
      <c r="E94" s="10"/>
      <c r="F94" s="11"/>
      <c r="G94" s="11"/>
      <c r="H94" s="13"/>
      <c r="I94" s="5"/>
      <c r="J94" s="11"/>
    </row>
    <row r="95" spans="1:10" ht="21" customHeight="1" x14ac:dyDescent="0.25">
      <c r="A95" s="11"/>
      <c r="B95" s="12"/>
      <c r="C95" s="12"/>
      <c r="D95" s="12"/>
      <c r="E95" s="10"/>
      <c r="F95" s="11"/>
      <c r="G95" s="11"/>
      <c r="H95" s="13"/>
      <c r="I95" s="5"/>
      <c r="J95" s="11"/>
    </row>
    <row r="96" spans="1:10" ht="21" customHeight="1" x14ac:dyDescent="0.25">
      <c r="A96" s="11"/>
      <c r="B96" s="12"/>
      <c r="C96" s="12"/>
      <c r="D96" s="12"/>
      <c r="E96" s="10"/>
      <c r="F96" s="11"/>
      <c r="G96" s="11"/>
      <c r="H96" s="13"/>
      <c r="I96" s="5"/>
      <c r="J96" s="11"/>
    </row>
    <row r="97" spans="1:10" ht="21" customHeight="1" x14ac:dyDescent="0.25">
      <c r="A97" s="11"/>
      <c r="B97" s="12"/>
      <c r="C97" s="12"/>
      <c r="D97" s="12"/>
      <c r="E97" s="10"/>
      <c r="F97" s="11"/>
      <c r="G97" s="11"/>
      <c r="H97" s="13"/>
      <c r="I97" s="5"/>
      <c r="J97" s="11"/>
    </row>
    <row r="98" spans="1:10" ht="21" customHeight="1" x14ac:dyDescent="0.25">
      <c r="A98" s="11"/>
      <c r="B98" s="12"/>
      <c r="C98" s="12"/>
      <c r="D98" s="12"/>
      <c r="E98" s="10"/>
      <c r="F98" s="11"/>
      <c r="G98" s="11"/>
      <c r="H98" s="13"/>
      <c r="I98" s="5"/>
      <c r="J98" s="11"/>
    </row>
    <row r="99" spans="1:10" ht="21" customHeight="1" x14ac:dyDescent="0.25">
      <c r="A99" s="11"/>
      <c r="B99" s="12"/>
      <c r="C99" s="12"/>
      <c r="D99" s="12"/>
      <c r="E99" s="10"/>
      <c r="F99" s="11"/>
      <c r="G99" s="11"/>
      <c r="H99" s="13"/>
      <c r="I99" s="5"/>
      <c r="J99" s="11"/>
    </row>
    <row r="100" spans="1:10" ht="21" customHeight="1" x14ac:dyDescent="0.25">
      <c r="A100" s="11"/>
      <c r="B100" s="12"/>
      <c r="C100" s="12"/>
      <c r="D100" s="12"/>
      <c r="E100" s="10"/>
      <c r="F100" s="11"/>
      <c r="G100" s="11"/>
      <c r="H100" s="13"/>
      <c r="I100" s="5"/>
      <c r="J100" s="11"/>
    </row>
    <row r="101" spans="1:10" ht="21" customHeight="1" x14ac:dyDescent="0.25">
      <c r="A101" s="11"/>
      <c r="B101" s="12"/>
      <c r="C101" s="12"/>
      <c r="D101" s="12"/>
      <c r="E101" s="10"/>
      <c r="F101" s="11"/>
      <c r="G101" s="11"/>
      <c r="H101" s="13"/>
      <c r="I101" s="5"/>
      <c r="J101" s="11"/>
    </row>
    <row r="102" spans="1:10" ht="21" customHeight="1" x14ac:dyDescent="0.25">
      <c r="A102" s="11"/>
      <c r="B102" s="12"/>
      <c r="C102" s="12"/>
      <c r="D102" s="12"/>
      <c r="E102" s="10"/>
      <c r="F102" s="11"/>
      <c r="G102" s="11"/>
      <c r="H102" s="13"/>
      <c r="I102" s="5"/>
      <c r="J102" s="11"/>
    </row>
    <row r="103" spans="1:10" ht="21" customHeight="1" x14ac:dyDescent="0.25">
      <c r="A103" s="11"/>
      <c r="B103" s="12"/>
      <c r="C103" s="12"/>
      <c r="D103" s="12"/>
      <c r="E103" s="10"/>
      <c r="F103" s="11"/>
      <c r="G103" s="11"/>
      <c r="H103" s="13"/>
      <c r="I103" s="5"/>
      <c r="J103" s="11"/>
    </row>
    <row r="104" spans="1:10" ht="21" customHeight="1" x14ac:dyDescent="0.25">
      <c r="A104" s="11"/>
      <c r="B104" s="12"/>
      <c r="C104" s="12"/>
      <c r="D104" s="12"/>
      <c r="E104" s="10"/>
      <c r="F104" s="11"/>
      <c r="G104" s="11"/>
      <c r="H104" s="13"/>
      <c r="I104" s="5"/>
      <c r="J104" s="11"/>
    </row>
    <row r="105" spans="1:10" ht="21" customHeight="1" x14ac:dyDescent="0.25">
      <c r="A105" s="11"/>
      <c r="B105" s="12"/>
      <c r="C105" s="12"/>
      <c r="D105" s="12"/>
      <c r="E105" s="10"/>
      <c r="F105" s="11"/>
      <c r="G105" s="11"/>
      <c r="H105" s="13"/>
      <c r="I105" s="5"/>
      <c r="J105" s="11"/>
    </row>
    <row r="106" spans="1:10" ht="21" customHeight="1" x14ac:dyDescent="0.25">
      <c r="A106" s="11"/>
      <c r="B106" s="12"/>
      <c r="C106" s="12"/>
      <c r="D106" s="12"/>
      <c r="E106" s="10"/>
      <c r="F106" s="11"/>
      <c r="G106" s="11"/>
      <c r="H106" s="13"/>
      <c r="I106" s="5"/>
      <c r="J106" s="11"/>
    </row>
    <row r="107" spans="1:10" ht="21" customHeight="1" x14ac:dyDescent="0.25">
      <c r="A107" s="11"/>
      <c r="B107" s="12"/>
      <c r="C107" s="12"/>
      <c r="D107" s="12"/>
      <c r="E107" s="10"/>
      <c r="F107" s="11"/>
      <c r="G107" s="11"/>
      <c r="H107" s="13"/>
      <c r="I107" s="5"/>
      <c r="J107" s="11"/>
    </row>
    <row r="108" spans="1:10" ht="21" customHeight="1" x14ac:dyDescent="0.25">
      <c r="A108" s="11"/>
      <c r="B108" s="12"/>
      <c r="C108" s="12"/>
      <c r="D108" s="12"/>
      <c r="E108" s="10"/>
      <c r="F108" s="11"/>
      <c r="G108" s="11"/>
      <c r="H108" s="13"/>
      <c r="I108" s="5"/>
      <c r="J108" s="11"/>
    </row>
    <row r="109" spans="1:10" ht="21" customHeight="1" x14ac:dyDescent="0.25">
      <c r="A109" s="11"/>
      <c r="B109" s="12"/>
      <c r="C109" s="12"/>
      <c r="D109" s="12"/>
      <c r="E109" s="10"/>
      <c r="F109" s="11"/>
      <c r="G109" s="11"/>
      <c r="H109" s="13"/>
      <c r="I109" s="5"/>
      <c r="J109" s="11"/>
    </row>
    <row r="110" spans="1:10" ht="21" customHeight="1" x14ac:dyDescent="0.25">
      <c r="A110" s="11"/>
      <c r="B110" s="12"/>
      <c r="C110" s="12"/>
      <c r="D110" s="12"/>
      <c r="E110" s="10"/>
      <c r="F110" s="11"/>
      <c r="G110" s="11"/>
      <c r="H110" s="13"/>
      <c r="I110" s="5"/>
      <c r="J110" s="11"/>
    </row>
    <row r="111" spans="1:10" ht="21" customHeight="1" x14ac:dyDescent="0.25">
      <c r="A111" s="11"/>
      <c r="B111" s="12"/>
      <c r="C111" s="12"/>
      <c r="D111" s="12"/>
      <c r="E111" s="10"/>
      <c r="F111" s="11"/>
      <c r="G111" s="11"/>
      <c r="H111" s="13"/>
      <c r="I111" s="5"/>
      <c r="J111" s="11"/>
    </row>
    <row r="112" spans="1:10" ht="21" customHeight="1" x14ac:dyDescent="0.25">
      <c r="A112" s="11"/>
      <c r="B112" s="12"/>
      <c r="C112" s="12"/>
      <c r="D112" s="12"/>
      <c r="E112" s="10"/>
      <c r="F112" s="11"/>
      <c r="G112" s="11"/>
      <c r="H112" s="13"/>
      <c r="I112" s="5"/>
      <c r="J112" s="11"/>
    </row>
    <row r="113" spans="1:10" ht="21" customHeight="1" x14ac:dyDescent="0.25">
      <c r="A113" s="11"/>
      <c r="B113" s="12"/>
      <c r="C113" s="12"/>
      <c r="D113" s="12"/>
      <c r="E113" s="10"/>
      <c r="F113" s="11"/>
      <c r="G113" s="11"/>
      <c r="H113" s="13"/>
      <c r="I113" s="5"/>
      <c r="J113" s="11"/>
    </row>
    <row r="114" spans="1:10" ht="21" customHeight="1" x14ac:dyDescent="0.25">
      <c r="A114" s="11"/>
      <c r="B114" s="12"/>
      <c r="C114" s="12"/>
      <c r="D114" s="12"/>
      <c r="E114" s="10"/>
      <c r="F114" s="11"/>
      <c r="G114" s="11"/>
      <c r="H114" s="13"/>
      <c r="I114" s="5"/>
      <c r="J114" s="11"/>
    </row>
    <row r="115" spans="1:10" ht="21" customHeight="1" x14ac:dyDescent="0.25">
      <c r="A115" s="11"/>
      <c r="B115" s="12"/>
      <c r="C115" s="12"/>
      <c r="D115" s="12"/>
      <c r="E115" s="10"/>
      <c r="F115" s="11"/>
      <c r="G115" s="11"/>
      <c r="H115" s="13"/>
      <c r="I115" s="5"/>
      <c r="J115" s="11"/>
    </row>
    <row r="116" spans="1:10" ht="21" customHeight="1" x14ac:dyDescent="0.25">
      <c r="A116" s="11"/>
      <c r="B116" s="12"/>
      <c r="C116" s="12"/>
      <c r="D116" s="12"/>
      <c r="E116" s="10"/>
      <c r="F116" s="11"/>
      <c r="G116" s="11"/>
      <c r="H116" s="13"/>
      <c r="I116" s="5"/>
      <c r="J116" s="11"/>
    </row>
    <row r="117" spans="1:10" ht="21" customHeight="1" x14ac:dyDescent="0.25">
      <c r="A117" s="11"/>
      <c r="B117" s="12"/>
      <c r="C117" s="12"/>
      <c r="D117" s="12"/>
      <c r="E117" s="10"/>
      <c r="F117" s="11"/>
      <c r="G117" s="11"/>
      <c r="H117" s="13"/>
      <c r="I117" s="5"/>
      <c r="J117" s="11"/>
    </row>
    <row r="118" spans="1:10" ht="21" customHeight="1" x14ac:dyDescent="0.25">
      <c r="A118" s="11"/>
      <c r="B118" s="12"/>
      <c r="C118" s="12"/>
      <c r="D118" s="12"/>
      <c r="E118" s="10"/>
      <c r="F118" s="11"/>
      <c r="G118" s="11"/>
      <c r="H118" s="13"/>
      <c r="I118" s="5"/>
      <c r="J118" s="11"/>
    </row>
    <row r="119" spans="1:10" ht="21" customHeight="1" x14ac:dyDescent="0.25">
      <c r="A119" s="11"/>
      <c r="B119" s="12"/>
      <c r="C119" s="12"/>
      <c r="D119" s="12"/>
      <c r="E119" s="10"/>
      <c r="F119" s="11"/>
      <c r="G119" s="11"/>
      <c r="H119" s="13"/>
      <c r="I119" s="5"/>
      <c r="J119" s="11"/>
    </row>
    <row r="120" spans="1:10" ht="21" customHeight="1" x14ac:dyDescent="0.25">
      <c r="A120" s="11"/>
      <c r="B120" s="12"/>
      <c r="C120" s="12"/>
      <c r="D120" s="12"/>
      <c r="E120" s="10"/>
      <c r="F120" s="11"/>
      <c r="G120" s="11"/>
      <c r="H120" s="13"/>
      <c r="I120" s="5"/>
      <c r="J120" s="11"/>
    </row>
    <row r="121" spans="1:10" ht="21" customHeight="1" x14ac:dyDescent="0.25">
      <c r="A121" s="11"/>
      <c r="B121" s="12"/>
      <c r="C121" s="12"/>
      <c r="D121" s="12"/>
      <c r="E121" s="10"/>
      <c r="F121" s="11"/>
      <c r="G121" s="11"/>
      <c r="H121" s="13"/>
      <c r="I121" s="5"/>
      <c r="J121" s="11"/>
    </row>
    <row r="122" spans="1:10" ht="21" customHeight="1" x14ac:dyDescent="0.25">
      <c r="A122" s="11"/>
      <c r="B122" s="12"/>
      <c r="C122" s="12"/>
      <c r="D122" s="12"/>
      <c r="E122" s="10"/>
      <c r="F122" s="11"/>
      <c r="G122" s="11"/>
      <c r="H122" s="13"/>
      <c r="I122" s="5"/>
      <c r="J122" s="11"/>
    </row>
    <row r="123" spans="1:10" ht="21" customHeight="1" x14ac:dyDescent="0.25">
      <c r="A123" s="11"/>
      <c r="B123" s="12"/>
      <c r="C123" s="12"/>
      <c r="D123" s="12"/>
      <c r="E123" s="10"/>
      <c r="F123" s="11"/>
      <c r="G123" s="11"/>
      <c r="H123" s="13"/>
      <c r="I123" s="5"/>
      <c r="J123" s="11"/>
    </row>
    <row r="124" spans="1:10" ht="21" customHeight="1" x14ac:dyDescent="0.25">
      <c r="A124" s="11"/>
      <c r="B124" s="12"/>
      <c r="C124" s="12"/>
      <c r="D124" s="12"/>
      <c r="E124" s="10"/>
      <c r="F124" s="11"/>
      <c r="G124" s="11"/>
      <c r="H124" s="13"/>
      <c r="I124" s="5"/>
      <c r="J124" s="11"/>
    </row>
    <row r="125" spans="1:10" ht="21" customHeight="1" x14ac:dyDescent="0.25">
      <c r="A125" s="11"/>
      <c r="B125" s="12"/>
      <c r="C125" s="12"/>
      <c r="D125" s="12"/>
      <c r="E125" s="10"/>
      <c r="F125" s="11"/>
      <c r="G125" s="11"/>
      <c r="H125" s="13"/>
      <c r="I125" s="5"/>
      <c r="J125" s="11"/>
    </row>
    <row r="126" spans="1:10" ht="21" customHeight="1" x14ac:dyDescent="0.25">
      <c r="A126" s="11"/>
      <c r="B126" s="12"/>
      <c r="C126" s="12"/>
      <c r="D126" s="12"/>
      <c r="E126" s="10"/>
      <c r="F126" s="11"/>
      <c r="G126" s="11"/>
      <c r="H126" s="13"/>
      <c r="I126" s="5"/>
      <c r="J126" s="11"/>
    </row>
    <row r="127" spans="1:10" ht="21" customHeight="1" x14ac:dyDescent="0.25">
      <c r="A127" s="11"/>
      <c r="B127" s="12"/>
      <c r="C127" s="12"/>
      <c r="D127" s="12"/>
      <c r="E127" s="10"/>
      <c r="F127" s="11"/>
      <c r="G127" s="11"/>
      <c r="H127" s="13"/>
      <c r="I127" s="5"/>
      <c r="J127" s="11"/>
    </row>
    <row r="128" spans="1:10" ht="21" customHeight="1" x14ac:dyDescent="0.25">
      <c r="A128" s="11"/>
      <c r="B128" s="12"/>
      <c r="C128" s="12"/>
      <c r="D128" s="12"/>
      <c r="E128" s="10"/>
      <c r="F128" s="11"/>
      <c r="G128" s="11"/>
      <c r="H128" s="13"/>
      <c r="I128" s="5"/>
      <c r="J128" s="11"/>
    </row>
    <row r="129" spans="1:10" ht="21" customHeight="1" x14ac:dyDescent="0.25">
      <c r="A129" s="11"/>
      <c r="B129" s="12"/>
      <c r="C129" s="12"/>
      <c r="D129" s="12"/>
      <c r="E129" s="10"/>
      <c r="F129" s="11"/>
      <c r="G129" s="11"/>
      <c r="H129" s="13"/>
      <c r="I129" s="5"/>
      <c r="J129" s="11"/>
    </row>
    <row r="130" spans="1:10" ht="21" customHeight="1" x14ac:dyDescent="0.25">
      <c r="A130" s="11"/>
      <c r="B130" s="12"/>
      <c r="C130" s="12"/>
      <c r="D130" s="12"/>
      <c r="E130" s="10"/>
      <c r="F130" s="11"/>
      <c r="G130" s="11"/>
      <c r="H130" s="13"/>
      <c r="I130" s="5"/>
      <c r="J130" s="11"/>
    </row>
    <row r="131" spans="1:10" ht="21" customHeight="1" x14ac:dyDescent="0.25">
      <c r="A131" s="11"/>
      <c r="B131" s="12"/>
      <c r="C131" s="12"/>
      <c r="D131" s="12"/>
      <c r="E131" s="10"/>
      <c r="F131" s="11"/>
      <c r="G131" s="11"/>
      <c r="H131" s="13"/>
      <c r="I131" s="5"/>
      <c r="J131" s="11"/>
    </row>
    <row r="132" spans="1:10" ht="21" customHeight="1" x14ac:dyDescent="0.25">
      <c r="A132" s="11"/>
      <c r="B132" s="12"/>
      <c r="C132" s="12"/>
      <c r="D132" s="12"/>
      <c r="E132" s="10"/>
      <c r="F132" s="11"/>
      <c r="G132" s="11"/>
      <c r="H132" s="13"/>
      <c r="I132" s="5"/>
      <c r="J132" s="11"/>
    </row>
    <row r="133" spans="1:10" ht="21" customHeight="1" x14ac:dyDescent="0.25">
      <c r="A133" s="11"/>
      <c r="B133" s="12"/>
      <c r="C133" s="12"/>
      <c r="D133" s="12"/>
      <c r="E133" s="10"/>
      <c r="F133" s="11"/>
      <c r="G133" s="11"/>
      <c r="H133" s="13"/>
      <c r="I133" s="5"/>
      <c r="J133" s="11"/>
    </row>
    <row r="134" spans="1:10" ht="21" customHeight="1" x14ac:dyDescent="0.25">
      <c r="A134" s="11"/>
      <c r="B134" s="12"/>
      <c r="C134" s="12"/>
      <c r="D134" s="12"/>
      <c r="E134" s="10"/>
      <c r="F134" s="11"/>
      <c r="G134" s="11"/>
      <c r="H134" s="13"/>
      <c r="I134" s="5"/>
      <c r="J134" s="11"/>
    </row>
    <row r="135" spans="1:10" ht="21" customHeight="1" x14ac:dyDescent="0.25">
      <c r="A135" s="11"/>
      <c r="B135" s="12"/>
      <c r="C135" s="12"/>
      <c r="D135" s="12"/>
      <c r="E135" s="10"/>
      <c r="F135" s="11"/>
      <c r="G135" s="11"/>
      <c r="H135" s="13"/>
      <c r="I135" s="5"/>
      <c r="J135" s="11"/>
    </row>
    <row r="136" spans="1:10" ht="21" customHeight="1" x14ac:dyDescent="0.25">
      <c r="A136" s="11"/>
      <c r="B136" s="12"/>
      <c r="C136" s="12"/>
      <c r="D136" s="12"/>
      <c r="E136" s="10"/>
      <c r="F136" s="11"/>
      <c r="G136" s="11"/>
      <c r="H136" s="13"/>
      <c r="I136" s="5"/>
      <c r="J136" s="11"/>
    </row>
    <row r="137" spans="1:10" ht="21" customHeight="1" x14ac:dyDescent="0.25">
      <c r="A137" s="11"/>
      <c r="B137" s="12"/>
      <c r="C137" s="12"/>
      <c r="D137" s="12"/>
      <c r="E137" s="10"/>
      <c r="F137" s="11"/>
      <c r="G137" s="11"/>
      <c r="H137" s="13"/>
      <c r="I137" s="5"/>
      <c r="J137" s="11"/>
    </row>
    <row r="138" spans="1:10" ht="21" customHeight="1" x14ac:dyDescent="0.25">
      <c r="A138" s="11"/>
      <c r="B138" s="12"/>
      <c r="C138" s="12"/>
      <c r="D138" s="12"/>
      <c r="E138" s="10"/>
      <c r="F138" s="11"/>
      <c r="G138" s="11"/>
      <c r="H138" s="13"/>
      <c r="I138" s="5"/>
      <c r="J138" s="11"/>
    </row>
    <row r="139" spans="1:10" ht="21" customHeight="1" x14ac:dyDescent="0.25">
      <c r="A139" s="11"/>
      <c r="B139" s="12"/>
      <c r="C139" s="12"/>
      <c r="D139" s="12"/>
      <c r="E139" s="10"/>
      <c r="F139" s="11"/>
      <c r="G139" s="11"/>
      <c r="H139" s="13"/>
      <c r="I139" s="5"/>
      <c r="J139" s="11"/>
    </row>
    <row r="140" spans="1:10" ht="21" customHeight="1" x14ac:dyDescent="0.25">
      <c r="A140" s="11"/>
      <c r="B140" s="12"/>
      <c r="C140" s="12"/>
      <c r="D140" s="12"/>
      <c r="E140" s="10"/>
      <c r="F140" s="11"/>
      <c r="G140" s="11"/>
      <c r="H140" s="13"/>
      <c r="I140" s="5"/>
      <c r="J140" s="11"/>
    </row>
    <row r="141" spans="1:10" ht="21" customHeight="1" x14ac:dyDescent="0.25">
      <c r="A141" s="11"/>
      <c r="B141" s="12"/>
      <c r="C141" s="12"/>
      <c r="D141" s="12"/>
      <c r="E141" s="10"/>
      <c r="F141" s="11"/>
      <c r="G141" s="11"/>
      <c r="H141" s="13"/>
      <c r="I141" s="5"/>
      <c r="J141" s="11"/>
    </row>
    <row r="142" spans="1:10" ht="21" customHeight="1" x14ac:dyDescent="0.25">
      <c r="A142" s="11"/>
      <c r="B142" s="12"/>
      <c r="C142" s="12"/>
      <c r="D142" s="12"/>
      <c r="E142" s="10"/>
      <c r="F142" s="11"/>
      <c r="G142" s="11"/>
      <c r="H142" s="13"/>
      <c r="I142" s="5"/>
      <c r="J142" s="11"/>
    </row>
    <row r="143" spans="1:10" ht="21" customHeight="1" x14ac:dyDescent="0.25">
      <c r="A143" s="11"/>
      <c r="B143" s="12"/>
      <c r="C143" s="12"/>
      <c r="D143" s="12"/>
      <c r="E143" s="10"/>
      <c r="F143" s="11"/>
      <c r="G143" s="11"/>
      <c r="H143" s="13"/>
      <c r="I143" s="5"/>
      <c r="J143" s="11"/>
    </row>
    <row r="144" spans="1:10" ht="21" customHeight="1" x14ac:dyDescent="0.25">
      <c r="A144" s="11"/>
      <c r="B144" s="12"/>
      <c r="C144" s="12"/>
      <c r="D144" s="12"/>
      <c r="E144" s="10"/>
      <c r="F144" s="11"/>
      <c r="G144" s="11"/>
      <c r="H144" s="13"/>
      <c r="I144" s="5"/>
      <c r="J144" s="11"/>
    </row>
    <row r="145" spans="1:10" ht="21" customHeight="1" x14ac:dyDescent="0.25">
      <c r="A145" s="11"/>
      <c r="B145" s="12"/>
      <c r="C145" s="12"/>
      <c r="D145" s="12"/>
      <c r="E145" s="10"/>
      <c r="F145" s="11"/>
      <c r="G145" s="11"/>
      <c r="H145" s="13"/>
      <c r="I145" s="5"/>
      <c r="J145" s="11"/>
    </row>
    <row r="146" spans="1:10" ht="21" customHeight="1" x14ac:dyDescent="0.25">
      <c r="A146" s="11"/>
      <c r="B146" s="12"/>
      <c r="C146" s="12"/>
      <c r="D146" s="12"/>
      <c r="E146" s="10"/>
      <c r="F146" s="11"/>
      <c r="G146" s="11"/>
      <c r="H146" s="13"/>
      <c r="I146" s="5"/>
      <c r="J146" s="11"/>
    </row>
    <row r="147" spans="1:10" ht="21" customHeight="1" x14ac:dyDescent="0.25">
      <c r="A147" s="11"/>
      <c r="B147" s="12"/>
      <c r="C147" s="12"/>
      <c r="D147" s="12"/>
      <c r="E147" s="10"/>
      <c r="F147" s="11"/>
      <c r="G147" s="11"/>
      <c r="H147" s="13"/>
      <c r="I147" s="5"/>
      <c r="J147" s="11"/>
    </row>
    <row r="148" spans="1:10" ht="21" customHeight="1" x14ac:dyDescent="0.25">
      <c r="A148" s="11"/>
      <c r="B148" s="12"/>
      <c r="C148" s="12"/>
      <c r="D148" s="12"/>
      <c r="E148" s="10"/>
      <c r="F148" s="11"/>
      <c r="G148" s="11"/>
      <c r="H148" s="13"/>
      <c r="I148" s="5"/>
      <c r="J148" s="11"/>
    </row>
    <row r="149" spans="1:10" ht="21" customHeight="1" x14ac:dyDescent="0.25">
      <c r="A149" s="11"/>
      <c r="B149" s="12"/>
      <c r="C149" s="12"/>
      <c r="D149" s="12"/>
      <c r="E149" s="10"/>
      <c r="F149" s="11"/>
      <c r="G149" s="11"/>
      <c r="H149" s="13"/>
      <c r="I149" s="5"/>
      <c r="J149" s="11"/>
    </row>
    <row r="150" spans="1:10" ht="21" customHeight="1" x14ac:dyDescent="0.25">
      <c r="A150" s="11"/>
      <c r="B150" s="12"/>
      <c r="C150" s="12"/>
      <c r="D150" s="12"/>
      <c r="E150" s="10"/>
      <c r="F150" s="11"/>
      <c r="G150" s="11"/>
      <c r="H150" s="13"/>
      <c r="I150" s="5"/>
      <c r="J150" s="11"/>
    </row>
    <row r="151" spans="1:10" ht="21" customHeight="1" x14ac:dyDescent="0.25">
      <c r="A151" s="11"/>
      <c r="B151" s="12"/>
      <c r="C151" s="12"/>
      <c r="D151" s="12"/>
      <c r="E151" s="10"/>
      <c r="F151" s="11"/>
      <c r="G151" s="11"/>
      <c r="H151" s="13"/>
      <c r="I151" s="5"/>
      <c r="J151" s="11"/>
    </row>
    <row r="152" spans="1:10" ht="21" customHeight="1" x14ac:dyDescent="0.25">
      <c r="A152" s="11"/>
      <c r="B152" s="12"/>
      <c r="C152" s="12"/>
      <c r="D152" s="12"/>
      <c r="E152" s="10"/>
      <c r="F152" s="11"/>
      <c r="G152" s="11"/>
      <c r="H152" s="13"/>
      <c r="I152" s="5"/>
      <c r="J152" s="11"/>
    </row>
    <row r="153" spans="1:10" ht="21" customHeight="1" x14ac:dyDescent="0.25">
      <c r="A153" s="11"/>
      <c r="B153" s="12"/>
      <c r="C153" s="12"/>
      <c r="D153" s="12"/>
      <c r="E153" s="10"/>
      <c r="F153" s="11"/>
      <c r="G153" s="11"/>
      <c r="H153" s="13"/>
      <c r="I153" s="5"/>
      <c r="J153" s="11"/>
    </row>
    <row r="154" spans="1:10" ht="21" customHeight="1" x14ac:dyDescent="0.25">
      <c r="A154" s="11"/>
      <c r="B154" s="12"/>
      <c r="C154" s="12"/>
      <c r="D154" s="12"/>
      <c r="E154" s="10"/>
      <c r="F154" s="11"/>
      <c r="G154" s="11"/>
      <c r="H154" s="13"/>
      <c r="I154" s="5"/>
      <c r="J154" s="11"/>
    </row>
    <row r="155" spans="1:10" ht="21" customHeight="1" x14ac:dyDescent="0.25">
      <c r="A155" s="11"/>
      <c r="B155" s="12"/>
      <c r="C155" s="12"/>
      <c r="D155" s="12"/>
      <c r="E155" s="10"/>
      <c r="F155" s="11"/>
      <c r="G155" s="11"/>
      <c r="H155" s="13"/>
      <c r="I155" s="5"/>
      <c r="J155" s="11"/>
    </row>
    <row r="156" spans="1:10" ht="21" customHeight="1" x14ac:dyDescent="0.25">
      <c r="A156" s="11"/>
      <c r="B156" s="12"/>
      <c r="C156" s="12"/>
      <c r="D156" s="12"/>
      <c r="E156" s="10"/>
      <c r="F156" s="11"/>
      <c r="G156" s="11"/>
      <c r="H156" s="13"/>
      <c r="I156" s="5"/>
      <c r="J156" s="11"/>
    </row>
    <row r="157" spans="1:10" ht="21" customHeight="1" x14ac:dyDescent="0.25">
      <c r="A157" s="11"/>
      <c r="B157" s="12"/>
      <c r="C157" s="12"/>
      <c r="D157" s="12"/>
      <c r="E157" s="10"/>
      <c r="F157" s="11"/>
      <c r="G157" s="11"/>
      <c r="H157" s="13"/>
      <c r="I157" s="5"/>
      <c r="J157" s="11"/>
    </row>
    <row r="158" spans="1:10" ht="21" customHeight="1" x14ac:dyDescent="0.25">
      <c r="A158" s="11"/>
      <c r="B158" s="12"/>
      <c r="C158" s="12"/>
      <c r="D158" s="12"/>
      <c r="E158" s="10"/>
      <c r="F158" s="11"/>
      <c r="G158" s="11"/>
      <c r="H158" s="13"/>
      <c r="I158" s="5"/>
      <c r="J158" s="11"/>
    </row>
    <row r="159" spans="1:10" ht="21" customHeight="1" x14ac:dyDescent="0.25">
      <c r="A159" s="11"/>
      <c r="B159" s="12"/>
      <c r="C159" s="12"/>
      <c r="D159" s="12"/>
      <c r="E159" s="10"/>
      <c r="F159" s="11"/>
      <c r="G159" s="11"/>
      <c r="H159" s="13"/>
      <c r="I159" s="5"/>
      <c r="J159" s="11"/>
    </row>
    <row r="160" spans="1:10" ht="21" customHeight="1" x14ac:dyDescent="0.25">
      <c r="A160" s="11"/>
      <c r="B160" s="12"/>
      <c r="C160" s="12"/>
      <c r="D160" s="12"/>
      <c r="E160" s="10"/>
      <c r="F160" s="11"/>
      <c r="G160" s="11"/>
      <c r="H160" s="13"/>
      <c r="I160" s="5"/>
      <c r="J160" s="11"/>
    </row>
    <row r="161" spans="1:10" ht="21" customHeight="1" x14ac:dyDescent="0.25">
      <c r="A161" s="11"/>
      <c r="B161" s="12"/>
      <c r="C161" s="12"/>
      <c r="D161" s="12"/>
      <c r="E161" s="10"/>
      <c r="F161" s="11"/>
      <c r="G161" s="11"/>
      <c r="H161" s="13"/>
      <c r="I161" s="5"/>
      <c r="J161" s="11"/>
    </row>
    <row r="162" spans="1:10" ht="21" customHeight="1" x14ac:dyDescent="0.25">
      <c r="A162" s="11"/>
      <c r="B162" s="12"/>
      <c r="C162" s="12"/>
      <c r="D162" s="12"/>
      <c r="E162" s="10"/>
      <c r="F162" s="11"/>
      <c r="G162" s="11"/>
      <c r="H162" s="13"/>
      <c r="I162" s="5"/>
      <c r="J162" s="11"/>
    </row>
    <row r="163" spans="1:10" ht="21" customHeight="1" x14ac:dyDescent="0.25">
      <c r="A163" s="11"/>
      <c r="B163" s="12"/>
      <c r="C163" s="12"/>
      <c r="D163" s="12"/>
      <c r="E163" s="10"/>
      <c r="F163" s="11"/>
      <c r="G163" s="11"/>
      <c r="H163" s="13"/>
      <c r="I163" s="5"/>
      <c r="J163" s="11"/>
    </row>
    <row r="164" spans="1:10" ht="21" customHeight="1" x14ac:dyDescent="0.25">
      <c r="A164" s="11"/>
      <c r="B164" s="12"/>
      <c r="C164" s="12"/>
      <c r="D164" s="12"/>
      <c r="E164" s="10"/>
      <c r="F164" s="11"/>
      <c r="G164" s="11"/>
      <c r="H164" s="13"/>
      <c r="I164" s="5"/>
      <c r="J164" s="11"/>
    </row>
    <row r="165" spans="1:10" ht="21" customHeight="1" x14ac:dyDescent="0.25">
      <c r="A165" s="11"/>
      <c r="B165" s="12"/>
      <c r="C165" s="12"/>
      <c r="D165" s="12"/>
      <c r="E165" s="10"/>
      <c r="F165" s="11"/>
      <c r="G165" s="11"/>
      <c r="H165" s="13"/>
      <c r="I165" s="5"/>
      <c r="J165" s="11"/>
    </row>
    <row r="166" spans="1:10" ht="21" customHeight="1" x14ac:dyDescent="0.25">
      <c r="A166" s="11"/>
      <c r="B166" s="12"/>
      <c r="C166" s="12"/>
      <c r="D166" s="12"/>
      <c r="E166" s="10"/>
      <c r="F166" s="11"/>
      <c r="G166" s="11"/>
      <c r="H166" s="13"/>
      <c r="I166" s="5"/>
      <c r="J166" s="11"/>
    </row>
    <row r="167" spans="1:10" ht="21" customHeight="1" x14ac:dyDescent="0.25">
      <c r="A167" s="11"/>
      <c r="B167" s="12"/>
      <c r="C167" s="12"/>
      <c r="D167" s="12"/>
      <c r="E167" s="10"/>
      <c r="F167" s="11"/>
      <c r="G167" s="11"/>
      <c r="H167" s="13"/>
      <c r="I167" s="5"/>
      <c r="J167" s="11"/>
    </row>
    <row r="168" spans="1:10" ht="21" customHeight="1" x14ac:dyDescent="0.25">
      <c r="A168" s="11"/>
      <c r="B168" s="12"/>
      <c r="C168" s="12"/>
      <c r="D168" s="12"/>
      <c r="E168" s="10"/>
      <c r="F168" s="11"/>
      <c r="G168" s="11"/>
      <c r="H168" s="13"/>
      <c r="I168" s="5"/>
      <c r="J168" s="11"/>
    </row>
    <row r="169" spans="1:10" ht="21" customHeight="1" x14ac:dyDescent="0.25">
      <c r="A169" s="11"/>
      <c r="B169" s="12"/>
      <c r="C169" s="12"/>
      <c r="D169" s="12"/>
      <c r="E169" s="10"/>
      <c r="F169" s="11"/>
      <c r="G169" s="11"/>
      <c r="H169" s="13"/>
      <c r="I169" s="5"/>
      <c r="J169" s="11"/>
    </row>
    <row r="170" spans="1:10" ht="21" customHeight="1" x14ac:dyDescent="0.25">
      <c r="A170" s="11"/>
      <c r="B170" s="12"/>
      <c r="C170" s="12"/>
      <c r="D170" s="12"/>
      <c r="E170" s="10"/>
      <c r="F170" s="11"/>
      <c r="G170" s="11"/>
      <c r="H170" s="13"/>
      <c r="I170" s="5"/>
      <c r="J170" s="11"/>
    </row>
    <row r="171" spans="1:10" ht="21" customHeight="1" x14ac:dyDescent="0.25">
      <c r="A171" s="11"/>
      <c r="B171" s="12"/>
      <c r="C171" s="12"/>
      <c r="D171" s="12"/>
      <c r="E171" s="10"/>
      <c r="F171" s="11"/>
      <c r="G171" s="11"/>
      <c r="H171" s="13"/>
      <c r="I171" s="5"/>
      <c r="J171" s="11"/>
    </row>
    <row r="172" spans="1:10" ht="21" customHeight="1" x14ac:dyDescent="0.25">
      <c r="A172" s="11"/>
      <c r="B172" s="12"/>
      <c r="C172" s="12"/>
      <c r="D172" s="12"/>
      <c r="E172" s="10"/>
      <c r="F172" s="11"/>
      <c r="G172" s="11"/>
      <c r="H172" s="13"/>
      <c r="I172" s="5"/>
      <c r="J172" s="11"/>
    </row>
    <row r="173" spans="1:10" ht="21" customHeight="1" x14ac:dyDescent="0.25">
      <c r="A173" s="11"/>
      <c r="B173" s="12"/>
      <c r="C173" s="12"/>
      <c r="D173" s="12"/>
      <c r="E173" s="10"/>
      <c r="F173" s="11"/>
      <c r="G173" s="11"/>
      <c r="H173" s="13"/>
      <c r="I173" s="5"/>
      <c r="J173" s="11"/>
    </row>
    <row r="174" spans="1:10" ht="21" customHeight="1" x14ac:dyDescent="0.25">
      <c r="A174" s="11"/>
      <c r="B174" s="12"/>
      <c r="C174" s="12"/>
      <c r="D174" s="12"/>
      <c r="E174" s="10"/>
      <c r="F174" s="11"/>
      <c r="G174" s="11"/>
      <c r="H174" s="13"/>
      <c r="I174" s="5"/>
      <c r="J174" s="11"/>
    </row>
    <row r="175" spans="1:10" ht="21" customHeight="1" x14ac:dyDescent="0.25">
      <c r="A175" s="11"/>
      <c r="B175" s="12"/>
      <c r="C175" s="12"/>
      <c r="D175" s="12"/>
      <c r="E175" s="10"/>
      <c r="F175" s="11"/>
      <c r="G175" s="11"/>
      <c r="H175" s="13"/>
      <c r="I175" s="5"/>
      <c r="J175" s="11"/>
    </row>
    <row r="176" spans="1:10" ht="21" customHeight="1" x14ac:dyDescent="0.25">
      <c r="A176" s="11"/>
      <c r="B176" s="12"/>
      <c r="C176" s="12"/>
      <c r="D176" s="12"/>
      <c r="E176" s="10"/>
      <c r="F176" s="11"/>
      <c r="G176" s="11"/>
      <c r="H176" s="13"/>
      <c r="I176" s="5"/>
      <c r="J176" s="11"/>
    </row>
    <row r="177" spans="1:10" ht="21" customHeight="1" x14ac:dyDescent="0.25">
      <c r="A177" s="11"/>
      <c r="B177" s="12"/>
      <c r="C177" s="12"/>
      <c r="D177" s="12"/>
      <c r="E177" s="10"/>
      <c r="F177" s="11"/>
      <c r="G177" s="11"/>
      <c r="H177" s="13"/>
      <c r="I177" s="5"/>
      <c r="J177" s="11"/>
    </row>
    <row r="178" spans="1:10" ht="21" customHeight="1" x14ac:dyDescent="0.25">
      <c r="A178" s="11"/>
      <c r="B178" s="12"/>
      <c r="C178" s="12"/>
      <c r="D178" s="12"/>
      <c r="E178" s="10"/>
      <c r="F178" s="11"/>
      <c r="G178" s="11"/>
      <c r="H178" s="13"/>
      <c r="I178" s="5"/>
      <c r="J178" s="11"/>
    </row>
    <row r="179" spans="1:10" ht="21" customHeight="1" x14ac:dyDescent="0.25">
      <c r="A179" s="11"/>
      <c r="B179" s="12"/>
      <c r="C179" s="12"/>
      <c r="D179" s="12"/>
      <c r="E179" s="10"/>
      <c r="F179" s="11"/>
      <c r="G179" s="11"/>
      <c r="H179" s="13"/>
      <c r="I179" s="5"/>
      <c r="J179" s="11"/>
    </row>
    <row r="180" spans="1:10" ht="21" customHeight="1" x14ac:dyDescent="0.25">
      <c r="A180" s="11"/>
      <c r="B180" s="12"/>
      <c r="C180" s="12"/>
      <c r="D180" s="12"/>
      <c r="E180" s="10"/>
      <c r="F180" s="11"/>
      <c r="G180" s="11"/>
      <c r="H180" s="13"/>
      <c r="I180" s="5"/>
      <c r="J180" s="11"/>
    </row>
    <row r="181" spans="1:10" ht="21" customHeight="1" x14ac:dyDescent="0.25">
      <c r="A181" s="11"/>
      <c r="B181" s="12"/>
      <c r="C181" s="12"/>
      <c r="D181" s="12"/>
      <c r="E181" s="10"/>
      <c r="F181" s="11"/>
      <c r="G181" s="11"/>
      <c r="H181" s="13"/>
      <c r="I181" s="5"/>
      <c r="J181" s="11"/>
    </row>
    <row r="182" spans="1:10" ht="21" customHeight="1" x14ac:dyDescent="0.25">
      <c r="A182" s="11"/>
      <c r="B182" s="12"/>
      <c r="C182" s="12"/>
      <c r="D182" s="12"/>
      <c r="E182" s="10"/>
      <c r="F182" s="11"/>
      <c r="G182" s="11"/>
      <c r="H182" s="13"/>
      <c r="I182" s="5"/>
      <c r="J182" s="11"/>
    </row>
    <row r="183" spans="1:10" ht="21" customHeight="1" x14ac:dyDescent="0.25">
      <c r="A183" s="11"/>
      <c r="B183" s="12"/>
      <c r="C183" s="12"/>
      <c r="D183" s="12"/>
      <c r="E183" s="10"/>
      <c r="F183" s="11"/>
      <c r="G183" s="11"/>
      <c r="H183" s="13"/>
      <c r="I183" s="5"/>
      <c r="J183" s="11"/>
    </row>
    <row r="184" spans="1:10" ht="21" customHeight="1" x14ac:dyDescent="0.25">
      <c r="A184" s="11"/>
      <c r="B184" s="12"/>
      <c r="C184" s="12"/>
      <c r="D184" s="12"/>
      <c r="E184" s="10"/>
      <c r="F184" s="11"/>
      <c r="G184" s="11"/>
      <c r="H184" s="13"/>
      <c r="I184" s="5"/>
      <c r="J184" s="11"/>
    </row>
    <row r="185" spans="1:10" ht="21" customHeight="1" x14ac:dyDescent="0.25">
      <c r="A185" s="11"/>
      <c r="B185" s="12"/>
      <c r="C185" s="12"/>
      <c r="D185" s="12"/>
      <c r="E185" s="10"/>
      <c r="F185" s="11"/>
      <c r="G185" s="11"/>
      <c r="H185" s="13"/>
      <c r="I185" s="5"/>
      <c r="J185" s="11"/>
    </row>
    <row r="186" spans="1:10" ht="21" customHeight="1" x14ac:dyDescent="0.25">
      <c r="A186" s="11"/>
      <c r="B186" s="12"/>
      <c r="C186" s="12"/>
      <c r="D186" s="12"/>
      <c r="E186" s="10"/>
      <c r="F186" s="11"/>
      <c r="G186" s="11"/>
      <c r="H186" s="13"/>
      <c r="I186" s="5"/>
      <c r="J186" s="11"/>
    </row>
    <row r="187" spans="1:10" ht="21" customHeight="1" x14ac:dyDescent="0.25">
      <c r="A187" s="11"/>
      <c r="B187" s="12"/>
      <c r="C187" s="12"/>
      <c r="D187" s="12"/>
      <c r="E187" s="10"/>
      <c r="F187" s="11"/>
      <c r="G187" s="11"/>
      <c r="H187" s="13"/>
      <c r="I187" s="5"/>
      <c r="J187" s="11"/>
    </row>
    <row r="188" spans="1:10" ht="21" customHeight="1" x14ac:dyDescent="0.25">
      <c r="A188" s="11"/>
      <c r="B188" s="12"/>
      <c r="C188" s="12"/>
      <c r="D188" s="12"/>
      <c r="E188" s="10"/>
      <c r="F188" s="11"/>
      <c r="G188" s="11"/>
      <c r="H188" s="13"/>
      <c r="I188" s="5"/>
      <c r="J188" s="11"/>
    </row>
    <row r="189" spans="1:10" ht="21" customHeight="1" x14ac:dyDescent="0.25">
      <c r="A189" s="11"/>
      <c r="B189" s="12"/>
      <c r="C189" s="12"/>
      <c r="D189" s="12"/>
      <c r="E189" s="10"/>
      <c r="F189" s="11"/>
      <c r="G189" s="11"/>
      <c r="H189" s="13"/>
      <c r="I189" s="5"/>
      <c r="J189" s="11"/>
    </row>
    <row r="190" spans="1:10" ht="21" customHeight="1" x14ac:dyDescent="0.25">
      <c r="A190" s="11"/>
      <c r="B190" s="12"/>
      <c r="C190" s="12"/>
      <c r="D190" s="12"/>
      <c r="E190" s="10"/>
      <c r="F190" s="11"/>
      <c r="G190" s="11"/>
      <c r="H190" s="13"/>
      <c r="I190" s="5"/>
      <c r="J190" s="11"/>
    </row>
    <row r="191" spans="1:10" ht="21" customHeight="1" x14ac:dyDescent="0.25">
      <c r="A191" s="11"/>
      <c r="B191" s="12"/>
      <c r="C191" s="12"/>
      <c r="D191" s="12"/>
      <c r="E191" s="10"/>
      <c r="F191" s="11"/>
      <c r="G191" s="11"/>
      <c r="H191" s="13"/>
      <c r="I191" s="5"/>
      <c r="J191" s="11"/>
    </row>
    <row r="192" spans="1:10" ht="21" customHeight="1" x14ac:dyDescent="0.25">
      <c r="A192" s="11"/>
      <c r="B192" s="12"/>
      <c r="C192" s="12"/>
      <c r="D192" s="12"/>
      <c r="E192" s="10"/>
      <c r="F192" s="11"/>
      <c r="G192" s="11"/>
      <c r="H192" s="13"/>
      <c r="I192" s="5"/>
      <c r="J192" s="11"/>
    </row>
    <row r="193" spans="1:10" ht="21" customHeight="1" x14ac:dyDescent="0.25">
      <c r="A193" s="11"/>
      <c r="B193" s="12"/>
      <c r="C193" s="12"/>
      <c r="D193" s="12"/>
      <c r="E193" s="10"/>
      <c r="F193" s="11"/>
      <c r="G193" s="11"/>
      <c r="H193" s="13"/>
      <c r="I193" s="5"/>
      <c r="J193" s="11"/>
    </row>
    <row r="194" spans="1:10" ht="21" customHeight="1" x14ac:dyDescent="0.25">
      <c r="A194" s="11"/>
      <c r="B194" s="12"/>
      <c r="C194" s="12"/>
      <c r="D194" s="12"/>
      <c r="E194" s="10"/>
      <c r="F194" s="11"/>
      <c r="G194" s="11"/>
      <c r="H194" s="13"/>
      <c r="I194" s="5"/>
      <c r="J194" s="11"/>
    </row>
    <row r="195" spans="1:10" ht="21" customHeight="1" x14ac:dyDescent="0.25">
      <c r="A195" s="11"/>
      <c r="B195" s="12"/>
      <c r="C195" s="12"/>
      <c r="D195" s="12"/>
      <c r="E195" s="10"/>
      <c r="F195" s="11"/>
      <c r="G195" s="11"/>
      <c r="H195" s="13"/>
      <c r="I195" s="5"/>
      <c r="J195" s="11"/>
    </row>
    <row r="196" spans="1:10" ht="21" customHeight="1" x14ac:dyDescent="0.25">
      <c r="A196" s="11"/>
      <c r="B196" s="12"/>
      <c r="C196" s="12"/>
      <c r="D196" s="12"/>
      <c r="E196" s="10"/>
      <c r="F196" s="11"/>
      <c r="G196" s="11"/>
      <c r="H196" s="13"/>
      <c r="I196" s="5"/>
      <c r="J196" s="11"/>
    </row>
    <row r="197" spans="1:10" ht="21" customHeight="1" x14ac:dyDescent="0.25">
      <c r="A197" s="11"/>
      <c r="B197" s="12"/>
      <c r="C197" s="12"/>
      <c r="D197" s="12"/>
      <c r="E197" s="10"/>
      <c r="F197" s="11"/>
      <c r="G197" s="11"/>
      <c r="H197" s="13"/>
      <c r="I197" s="5"/>
      <c r="J197" s="11"/>
    </row>
    <row r="198" spans="1:10" ht="21" customHeight="1" x14ac:dyDescent="0.25">
      <c r="A198" s="11"/>
      <c r="B198" s="12"/>
      <c r="C198" s="12"/>
      <c r="D198" s="12"/>
      <c r="E198" s="10"/>
      <c r="F198" s="11"/>
      <c r="G198" s="11"/>
      <c r="H198" s="13"/>
      <c r="I198" s="5"/>
      <c r="J198" s="11"/>
    </row>
    <row r="199" spans="1:10" ht="21" customHeight="1" x14ac:dyDescent="0.25">
      <c r="A199" s="11"/>
      <c r="B199" s="12"/>
      <c r="C199" s="12"/>
      <c r="D199" s="12"/>
      <c r="E199" s="10"/>
      <c r="F199" s="11"/>
      <c r="G199" s="11"/>
      <c r="H199" s="13"/>
      <c r="I199" s="5"/>
      <c r="J199" s="11"/>
    </row>
    <row r="200" spans="1:10" ht="21" customHeight="1" x14ac:dyDescent="0.25">
      <c r="A200" s="11"/>
      <c r="B200" s="12"/>
      <c r="C200" s="12"/>
      <c r="D200" s="12"/>
      <c r="E200" s="10"/>
      <c r="F200" s="11"/>
      <c r="G200" s="11"/>
      <c r="H200" s="13"/>
      <c r="I200" s="5"/>
      <c r="J200" s="11"/>
    </row>
    <row r="201" spans="1:10" ht="21" customHeight="1" x14ac:dyDescent="0.25">
      <c r="A201" s="11"/>
      <c r="B201" s="12"/>
      <c r="C201" s="12"/>
      <c r="D201" s="12"/>
      <c r="E201" s="10"/>
      <c r="F201" s="11"/>
      <c r="G201" s="11"/>
      <c r="H201" s="13"/>
      <c r="I201" s="5"/>
      <c r="J201" s="11"/>
    </row>
    <row r="202" spans="1:10" ht="21" customHeight="1" x14ac:dyDescent="0.25">
      <c r="A202" s="11"/>
      <c r="B202" s="12"/>
      <c r="C202" s="12"/>
      <c r="D202" s="12"/>
      <c r="E202" s="10"/>
      <c r="F202" s="11"/>
      <c r="G202" s="11"/>
      <c r="H202" s="13"/>
      <c r="I202" s="5"/>
      <c r="J202" s="11"/>
    </row>
    <row r="203" spans="1:10" ht="21" customHeight="1" x14ac:dyDescent="0.25">
      <c r="A203" s="11"/>
      <c r="B203" s="12"/>
      <c r="C203" s="12"/>
      <c r="D203" s="12"/>
      <c r="E203" s="10"/>
      <c r="F203" s="11"/>
      <c r="G203" s="11"/>
      <c r="H203" s="13"/>
      <c r="I203" s="5"/>
      <c r="J203" s="11"/>
    </row>
    <row r="204" spans="1:10" ht="21" customHeight="1" x14ac:dyDescent="0.25">
      <c r="A204" s="11"/>
      <c r="B204" s="12"/>
      <c r="C204" s="12"/>
      <c r="D204" s="12"/>
      <c r="E204" s="10"/>
      <c r="F204" s="11"/>
      <c r="G204" s="11"/>
      <c r="H204" s="13"/>
      <c r="I204" s="5"/>
      <c r="J204" s="11"/>
    </row>
    <row r="205" spans="1:10" ht="21" customHeight="1" x14ac:dyDescent="0.25">
      <c r="A205" s="11"/>
      <c r="B205" s="12"/>
      <c r="C205" s="12"/>
      <c r="D205" s="12"/>
      <c r="E205" s="10"/>
      <c r="F205" s="11"/>
      <c r="G205" s="11"/>
      <c r="H205" s="13"/>
      <c r="I205" s="5"/>
      <c r="J205" s="11"/>
    </row>
    <row r="206" spans="1:10" ht="21" customHeight="1" x14ac:dyDescent="0.25">
      <c r="A206" s="11"/>
      <c r="B206" s="12"/>
      <c r="C206" s="12"/>
      <c r="D206" s="12"/>
      <c r="E206" s="10"/>
      <c r="F206" s="11"/>
      <c r="G206" s="11"/>
      <c r="H206" s="13"/>
      <c r="I206" s="5"/>
      <c r="J206" s="11"/>
    </row>
    <row r="207" spans="1:10" ht="21" customHeight="1" x14ac:dyDescent="0.25">
      <c r="A207" s="11"/>
      <c r="B207" s="12"/>
      <c r="C207" s="12"/>
      <c r="D207" s="12"/>
      <c r="E207" s="10"/>
      <c r="F207" s="11"/>
      <c r="G207" s="11"/>
      <c r="H207" s="13"/>
      <c r="I207" s="5"/>
      <c r="J207" s="11"/>
    </row>
    <row r="208" spans="1:10" ht="21" customHeight="1" x14ac:dyDescent="0.25">
      <c r="A208" s="11"/>
      <c r="B208" s="12"/>
      <c r="C208" s="12"/>
      <c r="D208" s="12"/>
      <c r="E208" s="10"/>
      <c r="F208" s="11"/>
      <c r="G208" s="11"/>
      <c r="H208" s="13"/>
      <c r="I208" s="5"/>
      <c r="J208" s="11"/>
    </row>
    <row r="209" spans="1:10" ht="21" customHeight="1" x14ac:dyDescent="0.25">
      <c r="A209" s="11"/>
      <c r="B209" s="12"/>
      <c r="C209" s="12"/>
      <c r="D209" s="12"/>
      <c r="E209" s="10"/>
      <c r="F209" s="11"/>
      <c r="G209" s="11"/>
      <c r="H209" s="13"/>
      <c r="I209" s="5"/>
      <c r="J209" s="11"/>
    </row>
    <row r="210" spans="1:10" ht="21" customHeight="1" x14ac:dyDescent="0.25">
      <c r="A210" s="11"/>
      <c r="B210" s="12"/>
      <c r="C210" s="12"/>
      <c r="D210" s="12"/>
      <c r="E210" s="10"/>
      <c r="F210" s="11"/>
      <c r="G210" s="11"/>
      <c r="H210" s="13"/>
      <c r="I210" s="5"/>
      <c r="J210" s="11"/>
    </row>
    <row r="211" spans="1:10" ht="21" customHeight="1" x14ac:dyDescent="0.25">
      <c r="A211" s="11"/>
      <c r="B211" s="12"/>
      <c r="C211" s="12"/>
      <c r="D211" s="12"/>
      <c r="E211" s="10"/>
      <c r="F211" s="11"/>
      <c r="G211" s="11"/>
      <c r="H211" s="13"/>
      <c r="I211" s="5"/>
      <c r="J211" s="11"/>
    </row>
    <row r="212" spans="1:10" ht="21" customHeight="1" x14ac:dyDescent="0.25">
      <c r="A212" s="11"/>
      <c r="B212" s="12"/>
      <c r="C212" s="12"/>
      <c r="D212" s="12"/>
      <c r="E212" s="10"/>
      <c r="F212" s="11"/>
      <c r="G212" s="11"/>
      <c r="H212" s="13"/>
      <c r="I212" s="5"/>
      <c r="J212" s="11"/>
    </row>
    <row r="213" spans="1:10" ht="21" customHeight="1" x14ac:dyDescent="0.25">
      <c r="A213" s="11"/>
      <c r="B213" s="12"/>
      <c r="C213" s="12"/>
      <c r="D213" s="12"/>
      <c r="E213" s="10"/>
      <c r="F213" s="11"/>
      <c r="G213" s="11"/>
      <c r="H213" s="13"/>
      <c r="I213" s="5"/>
      <c r="J213" s="11"/>
    </row>
    <row r="214" spans="1:10" ht="21" customHeight="1" x14ac:dyDescent="0.25">
      <c r="A214" s="11"/>
      <c r="B214" s="12"/>
      <c r="C214" s="12"/>
      <c r="D214" s="12"/>
      <c r="E214" s="10"/>
      <c r="F214" s="11"/>
      <c r="G214" s="11"/>
      <c r="H214" s="13"/>
      <c r="I214" s="5"/>
      <c r="J214" s="11"/>
    </row>
    <row r="215" spans="1:10" ht="21" customHeight="1" x14ac:dyDescent="0.25">
      <c r="A215" s="11"/>
      <c r="B215" s="12"/>
      <c r="C215" s="12"/>
      <c r="D215" s="12"/>
      <c r="E215" s="10"/>
      <c r="F215" s="11"/>
      <c r="G215" s="11"/>
      <c r="H215" s="13"/>
      <c r="I215" s="5"/>
      <c r="J215" s="11"/>
    </row>
    <row r="216" spans="1:10" ht="21" customHeight="1" x14ac:dyDescent="0.25">
      <c r="A216" s="11"/>
      <c r="B216" s="12"/>
      <c r="C216" s="12"/>
      <c r="D216" s="12"/>
      <c r="E216" s="10"/>
      <c r="F216" s="11"/>
      <c r="G216" s="11"/>
      <c r="H216" s="13"/>
      <c r="I216" s="5"/>
      <c r="J216" s="11"/>
    </row>
    <row r="217" spans="1:10" ht="21" customHeight="1" x14ac:dyDescent="0.25">
      <c r="A217" s="11"/>
      <c r="B217" s="12"/>
      <c r="C217" s="12"/>
      <c r="D217" s="12"/>
      <c r="E217" s="10"/>
      <c r="F217" s="11"/>
      <c r="G217" s="11"/>
      <c r="H217" s="13"/>
      <c r="I217" s="5"/>
      <c r="J217" s="11"/>
    </row>
    <row r="218" spans="1:10" ht="21" customHeight="1" x14ac:dyDescent="0.25">
      <c r="A218" s="11"/>
      <c r="B218" s="12"/>
      <c r="C218" s="12"/>
      <c r="D218" s="12"/>
      <c r="E218" s="10"/>
      <c r="F218" s="11"/>
      <c r="G218" s="11"/>
      <c r="H218" s="13"/>
      <c r="I218" s="5"/>
      <c r="J218" s="11"/>
    </row>
    <row r="219" spans="1:10" ht="21" customHeight="1" x14ac:dyDescent="0.25">
      <c r="A219" s="11"/>
      <c r="B219" s="12"/>
      <c r="C219" s="12"/>
      <c r="D219" s="12"/>
      <c r="E219" s="10"/>
      <c r="F219" s="11"/>
      <c r="G219" s="11"/>
      <c r="H219" s="13"/>
      <c r="I219" s="5"/>
      <c r="J219" s="11"/>
    </row>
    <row r="220" spans="1:10" ht="21" customHeight="1" x14ac:dyDescent="0.25">
      <c r="A220" s="11"/>
      <c r="B220" s="12"/>
      <c r="C220" s="12"/>
      <c r="D220" s="12"/>
      <c r="E220" s="10"/>
      <c r="F220" s="11"/>
      <c r="G220" s="11"/>
      <c r="H220" s="13"/>
      <c r="I220" s="5"/>
      <c r="J220" s="11"/>
    </row>
    <row r="221" spans="1:10" ht="21" customHeight="1" x14ac:dyDescent="0.25">
      <c r="A221" s="11"/>
      <c r="B221" s="12"/>
      <c r="C221" s="12"/>
      <c r="D221" s="12"/>
      <c r="E221" s="10"/>
      <c r="F221" s="11"/>
      <c r="G221" s="11"/>
      <c r="H221" s="13"/>
      <c r="I221" s="5"/>
      <c r="J221" s="11"/>
    </row>
    <row r="222" spans="1:10" ht="21" customHeight="1" x14ac:dyDescent="0.25">
      <c r="A222" s="11"/>
      <c r="B222" s="12"/>
      <c r="C222" s="12"/>
      <c r="D222" s="12"/>
      <c r="E222" s="10"/>
      <c r="F222" s="11"/>
      <c r="G222" s="11"/>
      <c r="H222" s="13"/>
      <c r="I222" s="5"/>
      <c r="J222" s="11"/>
    </row>
    <row r="223" spans="1:10" ht="21" customHeight="1" x14ac:dyDescent="0.25">
      <c r="A223" s="11"/>
      <c r="B223" s="12"/>
      <c r="C223" s="12"/>
      <c r="D223" s="12"/>
      <c r="E223" s="10"/>
      <c r="F223" s="11"/>
      <c r="G223" s="11"/>
      <c r="H223" s="13"/>
      <c r="I223" s="5"/>
      <c r="J223" s="11"/>
    </row>
    <row r="224" spans="1:10" ht="21" customHeight="1" x14ac:dyDescent="0.25">
      <c r="A224" s="11"/>
      <c r="B224" s="12"/>
      <c r="C224" s="12"/>
      <c r="D224" s="12"/>
      <c r="E224" s="10"/>
      <c r="F224" s="11"/>
      <c r="G224" s="11"/>
      <c r="H224" s="13"/>
      <c r="I224" s="5"/>
      <c r="J224" s="11"/>
    </row>
    <row r="225" spans="1:10" ht="21" customHeight="1" x14ac:dyDescent="0.25">
      <c r="A225" s="11"/>
      <c r="B225" s="12"/>
      <c r="C225" s="12"/>
      <c r="D225" s="12"/>
      <c r="E225" s="10"/>
      <c r="F225" s="11"/>
      <c r="G225" s="11"/>
      <c r="H225" s="13"/>
      <c r="I225" s="5"/>
      <c r="J225" s="11"/>
    </row>
    <row r="226" spans="1:10" ht="21" customHeight="1" x14ac:dyDescent="0.25">
      <c r="A226" s="11"/>
      <c r="B226" s="12"/>
      <c r="C226" s="12"/>
      <c r="D226" s="12"/>
      <c r="E226" s="10"/>
      <c r="F226" s="11"/>
      <c r="G226" s="11"/>
      <c r="H226" s="13"/>
      <c r="I226" s="5"/>
      <c r="J226" s="11"/>
    </row>
    <row r="227" spans="1:10" ht="21" customHeight="1" x14ac:dyDescent="0.25">
      <c r="A227" s="11"/>
      <c r="B227" s="12"/>
      <c r="C227" s="12"/>
      <c r="D227" s="12"/>
      <c r="E227" s="10"/>
      <c r="F227" s="11"/>
      <c r="G227" s="11"/>
      <c r="H227" s="13"/>
      <c r="I227" s="5"/>
      <c r="J227" s="11"/>
    </row>
    <row r="228" spans="1:10" ht="21" customHeight="1" x14ac:dyDescent="0.25">
      <c r="C228" s="12"/>
      <c r="D228" s="12"/>
      <c r="E228" s="10"/>
      <c r="F228" s="11"/>
      <c r="G228" s="11"/>
      <c r="H228" s="13"/>
      <c r="I228" s="5"/>
    </row>
  </sheetData>
  <mergeCells count="5">
    <mergeCell ref="A28:I28"/>
    <mergeCell ref="I1:J1"/>
    <mergeCell ref="B1:H1"/>
    <mergeCell ref="B25:B26"/>
    <mergeCell ref="B5:B24"/>
  </mergeCells>
  <printOptions horizontalCentered="1"/>
  <pageMargins left="0.25" right="0.25" top="0.25" bottom="0.25" header="0" footer="0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7498-302E-41F5-A62C-854130273552}">
  <sheetPr>
    <pageSetUpPr fitToPage="1"/>
  </sheetPr>
  <dimension ref="A1:O157"/>
  <sheetViews>
    <sheetView topLeftCell="A10" zoomScale="85" zoomScaleNormal="85" workbookViewId="0">
      <selection activeCell="E26" sqref="E26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2.85546875" style="1" bestFit="1" customWidth="1"/>
    <col min="5" max="5" width="58.28515625" style="1" bestFit="1" customWidth="1"/>
    <col min="6" max="6" width="13.5703125" style="40" customWidth="1"/>
    <col min="7" max="10" width="12.7109375" style="1" customWidth="1"/>
    <col min="11" max="11" width="14.42578125" style="108"/>
    <col min="12" max="12" width="14.85546875" style="108" customWidth="1"/>
    <col min="13" max="14" width="14.42578125" style="108"/>
    <col min="15" max="16384" width="14.42578125" style="1"/>
  </cols>
  <sheetData>
    <row r="1" spans="1:15" ht="21" customHeight="1" x14ac:dyDescent="0.25">
      <c r="A1" s="1" t="s">
        <v>0</v>
      </c>
      <c r="B1" s="379" t="s">
        <v>10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A2" s="4"/>
      <c r="B2" s="2"/>
      <c r="C2" s="2"/>
      <c r="D2" s="2"/>
      <c r="E2" s="3"/>
      <c r="F2" s="3"/>
      <c r="G2" s="3"/>
      <c r="H2" s="13"/>
      <c r="I2" s="5"/>
    </row>
    <row r="3" spans="1:15" ht="42" customHeight="1" x14ac:dyDescent="0.25">
      <c r="A3" s="53" t="s">
        <v>30</v>
      </c>
      <c r="B3" s="53" t="s">
        <v>17</v>
      </c>
      <c r="C3" s="6" t="s">
        <v>18</v>
      </c>
      <c r="D3" s="6" t="s">
        <v>19</v>
      </c>
      <c r="E3" s="7" t="s">
        <v>20</v>
      </c>
      <c r="F3" s="8" t="s">
        <v>55</v>
      </c>
      <c r="G3" s="8" t="s">
        <v>21</v>
      </c>
      <c r="H3" s="6" t="s">
        <v>22</v>
      </c>
      <c r="I3" s="9" t="s">
        <v>23</v>
      </c>
      <c r="J3" s="53" t="s">
        <v>24</v>
      </c>
      <c r="K3" s="303"/>
      <c r="L3" s="303"/>
      <c r="M3" s="339"/>
      <c r="N3" s="303"/>
    </row>
    <row r="4" spans="1:15" s="155" customFormat="1" ht="21" customHeight="1" x14ac:dyDescent="0.25">
      <c r="A4" s="183">
        <v>1</v>
      </c>
      <c r="B4" s="396" t="s">
        <v>26</v>
      </c>
      <c r="C4" s="25">
        <v>8888626140926</v>
      </c>
      <c r="D4" s="185">
        <v>520272</v>
      </c>
      <c r="E4" s="99" t="s">
        <v>70</v>
      </c>
      <c r="F4" s="111">
        <v>25</v>
      </c>
      <c r="G4" s="27">
        <v>4.05</v>
      </c>
      <c r="H4" s="27">
        <v>4.05</v>
      </c>
      <c r="I4" s="29">
        <v>200</v>
      </c>
      <c r="J4" s="252">
        <f t="shared" ref="J4:J29" si="0">I4*H4</f>
        <v>810</v>
      </c>
      <c r="K4" s="366"/>
      <c r="L4" s="108"/>
      <c r="M4" s="222"/>
      <c r="N4" s="108"/>
      <c r="O4" s="233"/>
    </row>
    <row r="5" spans="1:15" s="247" customFormat="1" ht="34.9" customHeight="1" x14ac:dyDescent="0.25">
      <c r="A5" s="237">
        <v>2</v>
      </c>
      <c r="B5" s="397"/>
      <c r="C5" s="57" t="s">
        <v>247</v>
      </c>
      <c r="D5" s="274">
        <v>520183</v>
      </c>
      <c r="E5" s="58" t="s">
        <v>248</v>
      </c>
      <c r="F5" s="171">
        <v>120</v>
      </c>
      <c r="G5" s="36">
        <v>6.65</v>
      </c>
      <c r="H5" s="36">
        <v>6.65</v>
      </c>
      <c r="I5" s="29">
        <v>600</v>
      </c>
      <c r="J5" s="133">
        <f t="shared" si="0"/>
        <v>3990</v>
      </c>
      <c r="K5" s="366"/>
      <c r="L5" s="108"/>
      <c r="M5" s="222"/>
      <c r="N5" s="108"/>
      <c r="O5" s="233"/>
    </row>
    <row r="6" spans="1:15" s="38" customFormat="1" ht="21" customHeight="1" x14ac:dyDescent="0.25">
      <c r="A6" s="183">
        <v>3</v>
      </c>
      <c r="B6" s="381" t="s">
        <v>76</v>
      </c>
      <c r="C6" s="57">
        <v>8888626117683</v>
      </c>
      <c r="D6" s="184">
        <v>485012</v>
      </c>
      <c r="E6" s="58" t="s">
        <v>140</v>
      </c>
      <c r="F6" s="171">
        <v>24</v>
      </c>
      <c r="G6" s="27">
        <v>3.65</v>
      </c>
      <c r="H6" s="27">
        <v>3.65</v>
      </c>
      <c r="I6" s="28">
        <v>48</v>
      </c>
      <c r="J6" s="33">
        <f t="shared" si="0"/>
        <v>175.2</v>
      </c>
      <c r="K6" s="366"/>
      <c r="L6" s="108"/>
      <c r="M6" s="222"/>
      <c r="N6" s="108"/>
      <c r="O6" s="233"/>
    </row>
    <row r="7" spans="1:15" s="309" customFormat="1" ht="21" customHeight="1" x14ac:dyDescent="0.25">
      <c r="A7" s="308">
        <v>4</v>
      </c>
      <c r="B7" s="392"/>
      <c r="C7" s="117">
        <v>8888626174662</v>
      </c>
      <c r="D7" s="287">
        <v>485938</v>
      </c>
      <c r="E7" s="302" t="s">
        <v>295</v>
      </c>
      <c r="F7" s="308">
        <v>12</v>
      </c>
      <c r="G7" s="27">
        <v>4.99</v>
      </c>
      <c r="H7" s="27">
        <v>4.99</v>
      </c>
      <c r="I7" s="28">
        <v>24</v>
      </c>
      <c r="J7" s="33">
        <f t="shared" si="0"/>
        <v>119.76</v>
      </c>
      <c r="K7" s="366"/>
      <c r="L7" s="108"/>
      <c r="M7" s="222"/>
      <c r="N7" s="108"/>
      <c r="O7" s="233"/>
    </row>
    <row r="8" spans="1:15" s="112" customFormat="1" ht="21" customHeight="1" x14ac:dyDescent="0.25">
      <c r="A8" s="308">
        <v>5</v>
      </c>
      <c r="B8" s="392"/>
      <c r="C8" s="313">
        <v>8888626127927</v>
      </c>
      <c r="D8" s="311">
        <v>485067</v>
      </c>
      <c r="E8" s="314" t="s">
        <v>282</v>
      </c>
      <c r="F8" s="315">
        <v>12</v>
      </c>
      <c r="G8" s="316">
        <v>3.55</v>
      </c>
      <c r="H8" s="316">
        <v>3.55</v>
      </c>
      <c r="I8" s="28">
        <v>24</v>
      </c>
      <c r="J8" s="33">
        <f t="shared" si="0"/>
        <v>85.199999999999989</v>
      </c>
      <c r="K8" s="366"/>
      <c r="L8" s="108"/>
      <c r="M8" s="222"/>
      <c r="N8" s="108"/>
      <c r="O8" s="233"/>
    </row>
    <row r="9" spans="1:15" s="56" customFormat="1" ht="21" customHeight="1" x14ac:dyDescent="0.25">
      <c r="A9" s="308">
        <v>6</v>
      </c>
      <c r="B9" s="392"/>
      <c r="C9" s="57">
        <v>8888626127934</v>
      </c>
      <c r="D9" s="299">
        <v>485068</v>
      </c>
      <c r="E9" s="58" t="s">
        <v>138</v>
      </c>
      <c r="F9" s="171">
        <v>12</v>
      </c>
      <c r="G9" s="27">
        <v>3.55</v>
      </c>
      <c r="H9" s="27">
        <v>3.55</v>
      </c>
      <c r="I9" s="28">
        <v>24</v>
      </c>
      <c r="J9" s="33">
        <f t="shared" si="0"/>
        <v>85.199999999999989</v>
      </c>
      <c r="K9" s="366"/>
      <c r="L9" s="108"/>
      <c r="M9" s="222"/>
      <c r="N9" s="108"/>
      <c r="O9" s="233"/>
    </row>
    <row r="10" spans="1:15" s="126" customFormat="1" ht="21" customHeight="1" x14ac:dyDescent="0.25">
      <c r="A10" s="308">
        <v>7</v>
      </c>
      <c r="B10" s="382"/>
      <c r="C10" s="57">
        <v>8888626150512</v>
      </c>
      <c r="D10" s="299">
        <v>485476</v>
      </c>
      <c r="E10" s="58" t="s">
        <v>209</v>
      </c>
      <c r="F10" s="171">
        <v>12</v>
      </c>
      <c r="G10" s="27">
        <v>4.5</v>
      </c>
      <c r="H10" s="27">
        <v>4.5</v>
      </c>
      <c r="I10" s="28">
        <v>36</v>
      </c>
      <c r="J10" s="33">
        <f t="shared" si="0"/>
        <v>162</v>
      </c>
      <c r="K10" s="366"/>
      <c r="L10" s="108"/>
      <c r="M10" s="222"/>
      <c r="N10" s="108"/>
      <c r="O10" s="233"/>
    </row>
    <row r="11" spans="1:15" s="153" customFormat="1" ht="21" customHeight="1" x14ac:dyDescent="0.25">
      <c r="A11" s="308">
        <v>8</v>
      </c>
      <c r="B11" s="381" t="s">
        <v>78</v>
      </c>
      <c r="C11" s="350" t="s">
        <v>343</v>
      </c>
      <c r="D11" s="351">
        <v>484893</v>
      </c>
      <c r="E11" s="352" t="s">
        <v>344</v>
      </c>
      <c r="F11" s="353">
        <v>1</v>
      </c>
      <c r="G11" s="354">
        <v>2.2999999999999998</v>
      </c>
      <c r="H11" s="354">
        <v>2.2999999999999998</v>
      </c>
      <c r="I11" s="355">
        <v>20</v>
      </c>
      <c r="J11" s="33">
        <f t="shared" si="0"/>
        <v>46</v>
      </c>
      <c r="K11" s="366"/>
      <c r="L11" s="108"/>
      <c r="M11" s="222"/>
      <c r="N11" s="108"/>
      <c r="O11" s="233"/>
    </row>
    <row r="12" spans="1:15" s="134" customFormat="1" ht="21" customHeight="1" x14ac:dyDescent="0.25">
      <c r="A12" s="308">
        <v>9</v>
      </c>
      <c r="B12" s="392"/>
      <c r="C12" s="74" t="s">
        <v>72</v>
      </c>
      <c r="D12" s="74">
        <v>484891</v>
      </c>
      <c r="E12" s="75" t="s">
        <v>74</v>
      </c>
      <c r="F12" s="76">
        <v>1</v>
      </c>
      <c r="G12" s="105">
        <v>2.5</v>
      </c>
      <c r="H12" s="105">
        <v>2.5</v>
      </c>
      <c r="I12" s="78">
        <v>45</v>
      </c>
      <c r="J12" s="33">
        <f t="shared" si="0"/>
        <v>112.5</v>
      </c>
      <c r="K12" s="366"/>
      <c r="L12" s="108"/>
      <c r="M12" s="222"/>
      <c r="N12" s="108"/>
      <c r="O12" s="233"/>
    </row>
    <row r="13" spans="1:15" s="73" customFormat="1" ht="21" customHeight="1" x14ac:dyDescent="0.25">
      <c r="A13" s="308">
        <v>10</v>
      </c>
      <c r="B13" s="382"/>
      <c r="C13" s="74" t="s">
        <v>73</v>
      </c>
      <c r="D13" s="74">
        <v>484890</v>
      </c>
      <c r="E13" s="75" t="s">
        <v>75</v>
      </c>
      <c r="F13" s="76">
        <v>1</v>
      </c>
      <c r="G13" s="105">
        <v>2.95</v>
      </c>
      <c r="H13" s="105">
        <v>2.95</v>
      </c>
      <c r="I13" s="78">
        <v>50</v>
      </c>
      <c r="J13" s="33">
        <f t="shared" si="0"/>
        <v>147.5</v>
      </c>
      <c r="K13" s="366"/>
      <c r="L13" s="108"/>
      <c r="M13" s="222"/>
      <c r="N13" s="108"/>
      <c r="O13" s="233"/>
    </row>
    <row r="14" spans="1:15" s="83" customFormat="1" ht="21" customHeight="1" x14ac:dyDescent="0.25">
      <c r="A14" s="308">
        <v>11</v>
      </c>
      <c r="B14" s="393" t="s">
        <v>117</v>
      </c>
      <c r="C14" s="25" t="s">
        <v>38</v>
      </c>
      <c r="D14" s="185">
        <v>662200</v>
      </c>
      <c r="E14" s="99" t="s">
        <v>116</v>
      </c>
      <c r="F14" s="43">
        <v>10</v>
      </c>
      <c r="G14" s="27">
        <v>1.75</v>
      </c>
      <c r="H14" s="27">
        <v>1.75</v>
      </c>
      <c r="I14" s="28">
        <v>30</v>
      </c>
      <c r="J14" s="33">
        <f t="shared" si="0"/>
        <v>52.5</v>
      </c>
      <c r="K14" s="366"/>
      <c r="L14" s="108"/>
      <c r="M14" s="222"/>
      <c r="N14" s="108"/>
      <c r="O14" s="233"/>
    </row>
    <row r="15" spans="1:15" s="83" customFormat="1" ht="21" customHeight="1" x14ac:dyDescent="0.25">
      <c r="A15" s="308">
        <v>12</v>
      </c>
      <c r="B15" s="394"/>
      <c r="C15" s="25">
        <v>8888626158747</v>
      </c>
      <c r="D15" s="321">
        <v>663324</v>
      </c>
      <c r="E15" s="99" t="s">
        <v>345</v>
      </c>
      <c r="F15" s="43">
        <v>10</v>
      </c>
      <c r="G15" s="27">
        <v>2.6</v>
      </c>
      <c r="H15" s="27">
        <v>2.6</v>
      </c>
      <c r="I15" s="28">
        <v>30</v>
      </c>
      <c r="J15" s="33">
        <f t="shared" si="0"/>
        <v>78</v>
      </c>
      <c r="K15" s="366"/>
      <c r="L15" s="108"/>
      <c r="M15" s="222"/>
      <c r="N15" s="108"/>
      <c r="O15" s="233"/>
    </row>
    <row r="16" spans="1:15" s="317" customFormat="1" ht="21" customHeight="1" x14ac:dyDescent="0.25">
      <c r="A16" s="308">
        <v>13</v>
      </c>
      <c r="B16" s="394"/>
      <c r="C16" s="25" t="s">
        <v>296</v>
      </c>
      <c r="D16" s="321">
        <v>663325</v>
      </c>
      <c r="E16" s="99" t="s">
        <v>346</v>
      </c>
      <c r="F16" s="43">
        <v>10</v>
      </c>
      <c r="G16" s="27">
        <v>1.3</v>
      </c>
      <c r="H16" s="27">
        <v>1.3</v>
      </c>
      <c r="I16" s="28">
        <v>60</v>
      </c>
      <c r="J16" s="33">
        <f t="shared" si="0"/>
        <v>78</v>
      </c>
      <c r="K16" s="366"/>
      <c r="L16" s="108"/>
      <c r="M16" s="222"/>
      <c r="N16" s="108"/>
      <c r="O16" s="233"/>
    </row>
    <row r="17" spans="1:15" s="126" customFormat="1" ht="21" customHeight="1" x14ac:dyDescent="0.25">
      <c r="A17" s="308">
        <v>14</v>
      </c>
      <c r="B17" s="395"/>
      <c r="C17" s="25">
        <v>8888626102290</v>
      </c>
      <c r="D17" s="321">
        <v>662248</v>
      </c>
      <c r="E17" s="295" t="s">
        <v>258</v>
      </c>
      <c r="F17" s="43">
        <v>16</v>
      </c>
      <c r="G17" s="27">
        <v>1.25</v>
      </c>
      <c r="H17" s="27">
        <v>1.25</v>
      </c>
      <c r="I17" s="28">
        <v>48</v>
      </c>
      <c r="J17" s="33">
        <f t="shared" si="0"/>
        <v>60</v>
      </c>
      <c r="K17" s="366"/>
      <c r="L17" s="108"/>
      <c r="M17" s="222"/>
      <c r="N17" s="108"/>
      <c r="O17" s="233"/>
    </row>
    <row r="18" spans="1:15" customFormat="1" ht="19.899999999999999" customHeight="1" x14ac:dyDescent="0.25">
      <c r="A18" s="308">
        <v>15</v>
      </c>
      <c r="B18" s="393" t="s">
        <v>151</v>
      </c>
      <c r="C18" s="25" t="s">
        <v>215</v>
      </c>
      <c r="D18" s="185">
        <v>344180</v>
      </c>
      <c r="E18" s="99" t="s">
        <v>216</v>
      </c>
      <c r="F18" s="111">
        <v>5</v>
      </c>
      <c r="G18" s="27">
        <v>10.85</v>
      </c>
      <c r="H18" s="27">
        <v>10.85</v>
      </c>
      <c r="I18" s="248">
        <v>50</v>
      </c>
      <c r="J18" s="33">
        <f t="shared" si="0"/>
        <v>542.5</v>
      </c>
      <c r="K18" s="366"/>
      <c r="L18" s="108"/>
      <c r="M18" s="356"/>
      <c r="N18" s="108"/>
      <c r="O18" s="233"/>
    </row>
    <row r="19" spans="1:15" customFormat="1" ht="19.899999999999999" customHeight="1" x14ac:dyDescent="0.25">
      <c r="A19" s="308">
        <v>16</v>
      </c>
      <c r="B19" s="394"/>
      <c r="C19" s="25">
        <v>8888626014784</v>
      </c>
      <c r="D19" s="288">
        <v>105663</v>
      </c>
      <c r="E19" s="99" t="s">
        <v>249</v>
      </c>
      <c r="F19" s="248">
        <v>12</v>
      </c>
      <c r="G19" s="27">
        <v>1.98</v>
      </c>
      <c r="H19" s="27">
        <v>1.98</v>
      </c>
      <c r="I19" s="248">
        <v>60</v>
      </c>
      <c r="J19" s="33">
        <f t="shared" si="0"/>
        <v>118.8</v>
      </c>
      <c r="K19" s="366"/>
      <c r="L19" s="108"/>
      <c r="M19" s="356"/>
      <c r="N19" s="108"/>
      <c r="O19" s="233"/>
    </row>
    <row r="20" spans="1:15" s="159" customFormat="1" ht="19.899999999999999" customHeight="1" x14ac:dyDescent="0.25">
      <c r="A20" s="308">
        <v>17</v>
      </c>
      <c r="B20" s="394"/>
      <c r="C20" s="25">
        <v>8886303210207</v>
      </c>
      <c r="D20" s="288">
        <v>101086</v>
      </c>
      <c r="E20" s="99" t="s">
        <v>251</v>
      </c>
      <c r="F20" s="248">
        <v>30</v>
      </c>
      <c r="G20" s="27">
        <v>1.2</v>
      </c>
      <c r="H20" s="27">
        <v>1.2</v>
      </c>
      <c r="I20" s="248">
        <v>390</v>
      </c>
      <c r="J20" s="33">
        <f t="shared" si="0"/>
        <v>468</v>
      </c>
      <c r="K20" s="366"/>
      <c r="L20" s="108"/>
      <c r="M20" s="222"/>
      <c r="N20" s="108"/>
      <c r="O20" s="233"/>
    </row>
    <row r="21" spans="1:15" ht="21" customHeight="1" x14ac:dyDescent="0.25">
      <c r="A21" s="308">
        <v>18</v>
      </c>
      <c r="B21" s="395"/>
      <c r="C21" s="25">
        <v>8888626094021</v>
      </c>
      <c r="D21" s="276">
        <v>344407</v>
      </c>
      <c r="E21" s="99" t="s">
        <v>59</v>
      </c>
      <c r="F21" s="248">
        <v>10</v>
      </c>
      <c r="G21" s="27">
        <v>3.8</v>
      </c>
      <c r="H21" s="27">
        <v>3.8</v>
      </c>
      <c r="I21" s="29">
        <v>80</v>
      </c>
      <c r="J21" s="33">
        <f t="shared" si="0"/>
        <v>304</v>
      </c>
      <c r="K21" s="366"/>
      <c r="M21" s="222"/>
      <c r="O21" s="233"/>
    </row>
    <row r="22" spans="1:15" s="81" customFormat="1" ht="21" customHeight="1" x14ac:dyDescent="0.25">
      <c r="A22" s="308">
        <v>19</v>
      </c>
      <c r="B22" s="393" t="s">
        <v>396</v>
      </c>
      <c r="C22" s="25">
        <v>8888626141176</v>
      </c>
      <c r="D22" s="185">
        <v>662763</v>
      </c>
      <c r="E22" s="99" t="s">
        <v>160</v>
      </c>
      <c r="F22" s="43">
        <v>30</v>
      </c>
      <c r="G22" s="27">
        <v>0.9</v>
      </c>
      <c r="H22" s="27">
        <v>0.9</v>
      </c>
      <c r="I22" s="29">
        <v>90</v>
      </c>
      <c r="J22" s="33">
        <f t="shared" si="0"/>
        <v>81</v>
      </c>
      <c r="K22" s="366"/>
      <c r="L22" s="108"/>
      <c r="M22" s="222"/>
      <c r="N22" s="108"/>
      <c r="O22" s="233"/>
    </row>
    <row r="23" spans="1:15" s="72" customFormat="1" ht="21" customHeight="1" x14ac:dyDescent="0.25">
      <c r="A23" s="308">
        <v>20</v>
      </c>
      <c r="B23" s="394"/>
      <c r="C23" s="25">
        <v>8888626143637</v>
      </c>
      <c r="D23" s="185">
        <v>662813</v>
      </c>
      <c r="E23" s="99" t="s">
        <v>88</v>
      </c>
      <c r="F23" s="43">
        <v>12</v>
      </c>
      <c r="G23" s="27">
        <v>4.2</v>
      </c>
      <c r="H23" s="27">
        <v>4.2</v>
      </c>
      <c r="I23" s="29">
        <v>48</v>
      </c>
      <c r="J23" s="33">
        <f t="shared" si="0"/>
        <v>201.60000000000002</v>
      </c>
      <c r="K23" s="366"/>
      <c r="L23" s="108"/>
      <c r="M23" s="222"/>
      <c r="N23" s="108"/>
      <c r="O23" s="233"/>
    </row>
    <row r="24" spans="1:15" s="72" customFormat="1" ht="21" customHeight="1" x14ac:dyDescent="0.25">
      <c r="A24" s="308">
        <v>21</v>
      </c>
      <c r="B24" s="394"/>
      <c r="C24" s="25">
        <v>8888626143613</v>
      </c>
      <c r="D24" s="113">
        <v>662814</v>
      </c>
      <c r="E24" s="99" t="s">
        <v>89</v>
      </c>
      <c r="F24" s="43">
        <v>12</v>
      </c>
      <c r="G24" s="27">
        <v>4.2</v>
      </c>
      <c r="H24" s="27">
        <v>4.2</v>
      </c>
      <c r="I24" s="29">
        <v>48</v>
      </c>
      <c r="J24" s="33">
        <f t="shared" si="0"/>
        <v>201.60000000000002</v>
      </c>
      <c r="K24" s="366"/>
      <c r="L24" s="108"/>
      <c r="M24" s="222"/>
      <c r="N24" s="108"/>
      <c r="O24" s="233"/>
    </row>
    <row r="25" spans="1:15" s="73" customFormat="1" ht="21" customHeight="1" x14ac:dyDescent="0.25">
      <c r="A25" s="308">
        <v>22</v>
      </c>
      <c r="B25" s="394"/>
      <c r="C25" s="25">
        <v>8888626167435</v>
      </c>
      <c r="D25" s="288">
        <v>663113</v>
      </c>
      <c r="E25" s="99" t="s">
        <v>250</v>
      </c>
      <c r="F25" s="43">
        <v>6</v>
      </c>
      <c r="G25" s="27">
        <v>1.7</v>
      </c>
      <c r="H25" s="27">
        <v>1.7</v>
      </c>
      <c r="I25" s="29">
        <v>24</v>
      </c>
      <c r="J25" s="33">
        <f t="shared" si="0"/>
        <v>40.799999999999997</v>
      </c>
      <c r="K25" s="366"/>
      <c r="L25" s="108"/>
      <c r="M25" s="222"/>
      <c r="N25" s="108"/>
      <c r="O25" s="233"/>
    </row>
    <row r="26" spans="1:15" s="83" customFormat="1" ht="21" customHeight="1" x14ac:dyDescent="0.25">
      <c r="A26" s="308">
        <v>23</v>
      </c>
      <c r="B26" s="394"/>
      <c r="C26" s="25">
        <v>8888626167428</v>
      </c>
      <c r="D26" s="113">
        <v>663115</v>
      </c>
      <c r="E26" s="99" t="s">
        <v>217</v>
      </c>
      <c r="F26" s="43">
        <v>6</v>
      </c>
      <c r="G26" s="27">
        <v>1.7</v>
      </c>
      <c r="H26" s="27">
        <v>1.7</v>
      </c>
      <c r="I26" s="28">
        <v>48</v>
      </c>
      <c r="J26" s="33">
        <f t="shared" si="0"/>
        <v>81.599999999999994</v>
      </c>
      <c r="K26" s="366"/>
      <c r="L26" s="108"/>
      <c r="M26" s="222"/>
      <c r="N26" s="108"/>
      <c r="O26" s="233"/>
    </row>
    <row r="27" spans="1:15" s="72" customFormat="1" ht="21" customHeight="1" x14ac:dyDescent="0.25">
      <c r="A27" s="308">
        <v>24</v>
      </c>
      <c r="B27" s="394"/>
      <c r="C27" s="25">
        <v>8888626167442</v>
      </c>
      <c r="D27" s="293">
        <v>663114</v>
      </c>
      <c r="E27" s="99" t="s">
        <v>259</v>
      </c>
      <c r="F27" s="43">
        <v>6</v>
      </c>
      <c r="G27" s="27">
        <v>1.7</v>
      </c>
      <c r="H27" s="27">
        <v>1.7</v>
      </c>
      <c r="I27" s="28">
        <v>12</v>
      </c>
      <c r="J27" s="33">
        <f t="shared" si="0"/>
        <v>20.399999999999999</v>
      </c>
      <c r="K27" s="366"/>
      <c r="L27" s="108"/>
      <c r="M27" s="222"/>
      <c r="N27" s="108"/>
      <c r="O27" s="233"/>
    </row>
    <row r="28" spans="1:15" s="112" customFormat="1" ht="21" customHeight="1" x14ac:dyDescent="0.25">
      <c r="A28" s="308">
        <v>25</v>
      </c>
      <c r="B28" s="394"/>
      <c r="C28" s="25" t="s">
        <v>39</v>
      </c>
      <c r="D28" s="113">
        <v>661987</v>
      </c>
      <c r="E28" s="99" t="s">
        <v>115</v>
      </c>
      <c r="F28" s="43">
        <v>10</v>
      </c>
      <c r="G28" s="27">
        <v>2.2999999999999998</v>
      </c>
      <c r="H28" s="27">
        <v>2.2999999999999998</v>
      </c>
      <c r="I28" s="28">
        <v>80</v>
      </c>
      <c r="J28" s="33">
        <f t="shared" si="0"/>
        <v>184</v>
      </c>
      <c r="K28" s="366"/>
      <c r="L28" s="108"/>
      <c r="M28" s="222"/>
      <c r="N28" s="108"/>
      <c r="O28" s="233"/>
    </row>
    <row r="29" spans="1:15" ht="21" customHeight="1" x14ac:dyDescent="0.25">
      <c r="A29" s="308">
        <v>26</v>
      </c>
      <c r="B29" s="395"/>
      <c r="C29" s="25">
        <v>8888626117768</v>
      </c>
      <c r="D29" s="113">
        <v>662386</v>
      </c>
      <c r="E29" s="99" t="s">
        <v>53</v>
      </c>
      <c r="F29" s="43">
        <v>20</v>
      </c>
      <c r="G29" s="27">
        <v>1.95</v>
      </c>
      <c r="H29" s="27">
        <v>1.95</v>
      </c>
      <c r="I29" s="28">
        <v>80</v>
      </c>
      <c r="J29" s="15">
        <f t="shared" si="0"/>
        <v>156</v>
      </c>
      <c r="K29" s="366"/>
      <c r="M29" s="222"/>
      <c r="O29" s="233"/>
    </row>
    <row r="30" spans="1:15" ht="21" customHeight="1" x14ac:dyDescent="0.25">
      <c r="A30" s="372" t="s">
        <v>16</v>
      </c>
      <c r="B30" s="375"/>
      <c r="C30" s="375"/>
      <c r="D30" s="375"/>
      <c r="E30" s="375"/>
      <c r="F30" s="375"/>
      <c r="G30" s="375"/>
      <c r="H30" s="375"/>
      <c r="I30" s="385"/>
      <c r="J30" s="16">
        <f>SUM(J4:J29)</f>
        <v>8402.16</v>
      </c>
    </row>
    <row r="31" spans="1:15" ht="21" customHeight="1" x14ac:dyDescent="0.25">
      <c r="C31" s="12"/>
      <c r="D31" s="12"/>
      <c r="E31" s="10"/>
      <c r="F31" s="10"/>
      <c r="G31" s="10"/>
      <c r="H31" s="13"/>
      <c r="I31" s="5"/>
      <c r="J31" s="10"/>
    </row>
    <row r="32" spans="1:15" ht="21" customHeight="1" x14ac:dyDescent="0.25">
      <c r="A32" s="11"/>
      <c r="B32" s="12"/>
      <c r="C32" s="12"/>
      <c r="D32" s="12"/>
      <c r="E32" s="10"/>
      <c r="F32" s="10"/>
      <c r="G32" s="10"/>
      <c r="H32" s="13"/>
      <c r="I32" s="5"/>
      <c r="J32" s="10"/>
    </row>
    <row r="33" spans="1:10" ht="21" customHeight="1" x14ac:dyDescent="0.25">
      <c r="A33" s="11"/>
      <c r="B33" s="12"/>
      <c r="C33" s="12"/>
      <c r="D33" s="12"/>
      <c r="E33" s="10"/>
      <c r="F33" s="10"/>
      <c r="G33" s="10"/>
      <c r="H33" s="13"/>
      <c r="I33" s="5"/>
      <c r="J33" s="10"/>
    </row>
    <row r="34" spans="1:10" ht="21" customHeight="1" x14ac:dyDescent="0.25">
      <c r="A34" s="11"/>
      <c r="B34" s="12"/>
      <c r="C34" s="12"/>
      <c r="D34" s="12"/>
      <c r="E34" s="10"/>
      <c r="F34" s="10"/>
      <c r="G34" s="10"/>
      <c r="H34" s="13"/>
      <c r="I34" s="5"/>
      <c r="J34" s="10"/>
    </row>
    <row r="35" spans="1:10" ht="21" customHeight="1" x14ac:dyDescent="0.25">
      <c r="A35" s="11"/>
      <c r="B35" s="12"/>
      <c r="C35" s="12"/>
      <c r="D35" s="12"/>
      <c r="E35" s="10"/>
      <c r="F35" s="10"/>
      <c r="G35" s="10"/>
      <c r="H35" s="13"/>
      <c r="I35" s="5"/>
      <c r="J35" s="10"/>
    </row>
    <row r="36" spans="1:10" ht="21" customHeight="1" x14ac:dyDescent="0.25">
      <c r="A36" s="11"/>
      <c r="B36" s="12"/>
      <c r="C36" s="12"/>
      <c r="D36" s="12"/>
      <c r="E36" s="10"/>
      <c r="F36" s="10"/>
      <c r="G36" s="10"/>
      <c r="H36" s="13"/>
      <c r="I36" s="5"/>
      <c r="J36" s="10"/>
    </row>
    <row r="37" spans="1:10" ht="21" customHeight="1" x14ac:dyDescent="0.25">
      <c r="A37" s="11"/>
      <c r="B37" s="12"/>
      <c r="C37" s="12"/>
      <c r="D37" s="12"/>
      <c r="E37" s="10"/>
      <c r="F37" s="10"/>
      <c r="G37" s="10"/>
      <c r="H37" s="13"/>
      <c r="I37" s="5"/>
      <c r="J37" s="10"/>
    </row>
    <row r="38" spans="1:10" ht="21" customHeight="1" x14ac:dyDescent="0.25">
      <c r="A38" s="11"/>
      <c r="B38" s="12"/>
      <c r="C38" s="12"/>
      <c r="D38" s="12"/>
      <c r="E38" s="10"/>
      <c r="F38" s="10"/>
      <c r="G38" s="10"/>
      <c r="H38" s="13"/>
      <c r="I38" s="5"/>
      <c r="J38" s="10"/>
    </row>
    <row r="39" spans="1:10" ht="21" customHeight="1" x14ac:dyDescent="0.25">
      <c r="A39" s="11"/>
      <c r="B39" s="12"/>
      <c r="C39" s="12"/>
      <c r="D39" s="12"/>
      <c r="E39" s="10"/>
      <c r="F39" s="10"/>
      <c r="G39" s="10"/>
      <c r="H39" s="13"/>
      <c r="I39" s="5"/>
      <c r="J39" s="10"/>
    </row>
    <row r="40" spans="1:10" ht="21" customHeight="1" x14ac:dyDescent="0.25">
      <c r="A40" s="11"/>
      <c r="B40" s="12"/>
      <c r="C40" s="12"/>
      <c r="D40" s="12"/>
      <c r="E40" s="10"/>
      <c r="F40" s="10"/>
      <c r="G40" s="10"/>
      <c r="H40" s="13"/>
      <c r="I40" s="5"/>
      <c r="J40" s="10"/>
    </row>
    <row r="41" spans="1:10" ht="21" customHeight="1" x14ac:dyDescent="0.25">
      <c r="A41" s="11"/>
      <c r="B41" s="12"/>
      <c r="C41" s="12"/>
      <c r="D41" s="12"/>
      <c r="E41" s="10"/>
      <c r="F41" s="10"/>
      <c r="G41" s="10"/>
      <c r="H41" s="13"/>
      <c r="I41" s="5"/>
      <c r="J41" s="10"/>
    </row>
    <row r="42" spans="1:10" ht="21" customHeight="1" x14ac:dyDescent="0.25">
      <c r="A42" s="11"/>
      <c r="B42" s="12"/>
      <c r="C42" s="12"/>
      <c r="D42" s="12"/>
      <c r="E42" s="10"/>
      <c r="F42" s="10"/>
      <c r="G42" s="10"/>
      <c r="H42" s="13"/>
      <c r="I42" s="5"/>
      <c r="J42" s="10"/>
    </row>
    <row r="43" spans="1:10" ht="21" customHeight="1" x14ac:dyDescent="0.25">
      <c r="A43" s="11"/>
      <c r="B43" s="12"/>
      <c r="C43" s="12"/>
      <c r="D43" s="12"/>
      <c r="E43" s="10"/>
      <c r="F43" s="10"/>
      <c r="G43" s="10"/>
      <c r="H43" s="13"/>
      <c r="I43" s="5"/>
      <c r="J43" s="10"/>
    </row>
    <row r="44" spans="1:10" ht="21" customHeight="1" x14ac:dyDescent="0.25">
      <c r="A44" s="11"/>
      <c r="B44" s="12"/>
      <c r="C44" s="12"/>
      <c r="D44" s="12"/>
      <c r="E44" s="10"/>
      <c r="F44" s="10"/>
      <c r="G44" s="10"/>
      <c r="H44" s="13"/>
      <c r="I44" s="5"/>
      <c r="J44" s="10"/>
    </row>
    <row r="45" spans="1:10" ht="21" customHeight="1" x14ac:dyDescent="0.25">
      <c r="A45" s="11"/>
      <c r="B45" s="12"/>
      <c r="C45" s="12"/>
      <c r="D45" s="12"/>
      <c r="E45" s="10"/>
      <c r="F45" s="10"/>
      <c r="G45" s="10"/>
      <c r="H45" s="13"/>
      <c r="I45" s="5"/>
      <c r="J45" s="10"/>
    </row>
    <row r="46" spans="1:10" ht="21" customHeight="1" x14ac:dyDescent="0.25">
      <c r="A46" s="11"/>
      <c r="B46" s="12"/>
      <c r="C46" s="12"/>
      <c r="D46" s="12"/>
      <c r="E46" s="10"/>
      <c r="F46" s="10"/>
      <c r="G46" s="10"/>
      <c r="H46" s="13"/>
      <c r="I46" s="5"/>
      <c r="J46" s="10"/>
    </row>
    <row r="47" spans="1:10" ht="21" customHeight="1" x14ac:dyDescent="0.25">
      <c r="A47" s="11"/>
      <c r="B47" s="12"/>
      <c r="C47" s="12"/>
      <c r="D47" s="12"/>
      <c r="E47" s="10"/>
      <c r="F47" s="10"/>
      <c r="G47" s="10"/>
      <c r="H47" s="13"/>
      <c r="I47" s="5"/>
      <c r="J47" s="10"/>
    </row>
    <row r="48" spans="1:10" ht="21" customHeight="1" x14ac:dyDescent="0.25">
      <c r="A48" s="11"/>
      <c r="B48" s="12"/>
      <c r="C48" s="12"/>
      <c r="D48" s="12"/>
      <c r="E48" s="10"/>
      <c r="F48" s="10"/>
      <c r="G48" s="10"/>
      <c r="H48" s="13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0"/>
      <c r="G49" s="10"/>
      <c r="H49" s="13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0"/>
      <c r="G50" s="10"/>
      <c r="H50" s="13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0"/>
      <c r="G51" s="10"/>
      <c r="H51" s="13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0"/>
      <c r="G52" s="10"/>
      <c r="H52" s="13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0"/>
      <c r="G53" s="10"/>
      <c r="H53" s="13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0"/>
      <c r="G54" s="10"/>
      <c r="H54" s="13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0"/>
      <c r="G55" s="10"/>
      <c r="H55" s="13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0"/>
      <c r="G56" s="10"/>
      <c r="H56" s="13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0"/>
      <c r="G57" s="10"/>
      <c r="H57" s="13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0"/>
      <c r="G58" s="10"/>
      <c r="H58" s="13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0"/>
      <c r="G59" s="10"/>
      <c r="H59" s="13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0"/>
      <c r="G60" s="10"/>
      <c r="H60" s="13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0"/>
      <c r="G61" s="10"/>
      <c r="H61" s="13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0"/>
      <c r="G62" s="10"/>
      <c r="H62" s="13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0"/>
      <c r="G63" s="10"/>
      <c r="H63" s="13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0"/>
      <c r="G64" s="10"/>
      <c r="H64" s="13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0"/>
      <c r="G65" s="10"/>
      <c r="H65" s="13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0"/>
      <c r="G66" s="10"/>
      <c r="H66" s="13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0"/>
      <c r="G67" s="10"/>
      <c r="H67" s="13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0"/>
      <c r="G68" s="10"/>
      <c r="H68" s="13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0"/>
      <c r="G69" s="10"/>
      <c r="H69" s="13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0"/>
      <c r="G70" s="10"/>
      <c r="H70" s="13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0"/>
      <c r="G71" s="10"/>
      <c r="H71" s="13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0"/>
      <c r="G72" s="10"/>
      <c r="H72" s="13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0"/>
      <c r="G73" s="10"/>
      <c r="H73" s="13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0"/>
      <c r="G74" s="10"/>
      <c r="H74" s="13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0"/>
      <c r="G75" s="10"/>
      <c r="H75" s="13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0"/>
      <c r="G76" s="10"/>
      <c r="H76" s="13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0"/>
      <c r="G77" s="10"/>
      <c r="H77" s="13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0"/>
      <c r="G78" s="10"/>
      <c r="H78" s="13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0"/>
      <c r="G79" s="10"/>
      <c r="H79" s="13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0"/>
      <c r="G80" s="10"/>
      <c r="H80" s="13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0"/>
      <c r="G81" s="10"/>
      <c r="H81" s="13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0"/>
      <c r="G82" s="10"/>
      <c r="H82" s="13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0"/>
      <c r="G83" s="10"/>
      <c r="H83" s="13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0"/>
      <c r="G84" s="10"/>
      <c r="H84" s="13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0"/>
      <c r="G85" s="10"/>
      <c r="H85" s="13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0"/>
      <c r="G86" s="10"/>
      <c r="H86" s="13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0"/>
      <c r="G87" s="10"/>
      <c r="H87" s="13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0"/>
      <c r="G88" s="10"/>
      <c r="H88" s="13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0"/>
      <c r="G89" s="10"/>
      <c r="H89" s="13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0"/>
      <c r="G90" s="10"/>
      <c r="H90" s="13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0"/>
      <c r="G91" s="10"/>
      <c r="H91" s="13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0"/>
      <c r="G92" s="10"/>
      <c r="H92" s="13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0"/>
      <c r="G93" s="10"/>
      <c r="H93" s="13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0"/>
      <c r="G94" s="10"/>
      <c r="H94" s="13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0"/>
      <c r="G95" s="10"/>
      <c r="H95" s="13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0"/>
      <c r="G96" s="10"/>
      <c r="H96" s="13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0"/>
      <c r="G97" s="10"/>
      <c r="H97" s="13"/>
      <c r="I97" s="5"/>
      <c r="J97" s="10"/>
    </row>
    <row r="98" spans="1:10" ht="21" customHeight="1" x14ac:dyDescent="0.25">
      <c r="A98" s="11"/>
      <c r="B98" s="12"/>
      <c r="C98" s="12"/>
      <c r="D98" s="12"/>
      <c r="E98" s="10"/>
      <c r="F98" s="10"/>
      <c r="G98" s="10"/>
      <c r="H98" s="13"/>
      <c r="I98" s="5"/>
      <c r="J98" s="10"/>
    </row>
    <row r="99" spans="1:10" ht="21" customHeight="1" x14ac:dyDescent="0.25">
      <c r="A99" s="11"/>
      <c r="B99" s="12"/>
      <c r="C99" s="12"/>
      <c r="D99" s="12"/>
      <c r="E99" s="10"/>
      <c r="F99" s="10"/>
      <c r="G99" s="10"/>
      <c r="H99" s="13"/>
      <c r="I99" s="5"/>
      <c r="J99" s="10"/>
    </row>
    <row r="100" spans="1:10" ht="21" customHeight="1" x14ac:dyDescent="0.25">
      <c r="A100" s="11"/>
      <c r="B100" s="12"/>
      <c r="C100" s="12"/>
      <c r="D100" s="12"/>
      <c r="E100" s="10"/>
      <c r="F100" s="10"/>
      <c r="G100" s="10"/>
      <c r="H100" s="13"/>
      <c r="I100" s="5"/>
      <c r="J100" s="10"/>
    </row>
    <row r="101" spans="1:10" ht="21" customHeight="1" x14ac:dyDescent="0.25">
      <c r="A101" s="11"/>
      <c r="B101" s="12"/>
      <c r="C101" s="12"/>
      <c r="D101" s="12"/>
      <c r="E101" s="10"/>
      <c r="F101" s="10"/>
      <c r="G101" s="10"/>
      <c r="H101" s="13"/>
      <c r="I101" s="5"/>
      <c r="J101" s="10"/>
    </row>
    <row r="102" spans="1:10" ht="21" customHeight="1" x14ac:dyDescent="0.25">
      <c r="A102" s="11"/>
      <c r="B102" s="12"/>
      <c r="C102" s="12"/>
      <c r="D102" s="12"/>
      <c r="E102" s="10"/>
      <c r="F102" s="10"/>
      <c r="G102" s="10"/>
      <c r="H102" s="13"/>
      <c r="I102" s="5"/>
      <c r="J102" s="10"/>
    </row>
    <row r="103" spans="1:10" ht="21" customHeight="1" x14ac:dyDescent="0.25">
      <c r="A103" s="11"/>
      <c r="B103" s="12"/>
      <c r="C103" s="12"/>
      <c r="D103" s="12"/>
      <c r="E103" s="10"/>
      <c r="F103" s="10"/>
      <c r="G103" s="10"/>
      <c r="H103" s="13"/>
      <c r="I103" s="5"/>
      <c r="J103" s="10"/>
    </row>
    <row r="104" spans="1:10" ht="21" customHeight="1" x14ac:dyDescent="0.25">
      <c r="A104" s="11"/>
      <c r="B104" s="12"/>
      <c r="C104" s="12"/>
      <c r="D104" s="12"/>
      <c r="E104" s="10"/>
      <c r="F104" s="10"/>
      <c r="G104" s="10"/>
      <c r="H104" s="13"/>
      <c r="I104" s="5"/>
      <c r="J104" s="10"/>
    </row>
    <row r="105" spans="1:10" ht="21" customHeight="1" x14ac:dyDescent="0.25">
      <c r="A105" s="11"/>
      <c r="B105" s="12"/>
      <c r="C105" s="12"/>
      <c r="D105" s="12"/>
      <c r="E105" s="10"/>
      <c r="F105" s="10"/>
      <c r="G105" s="10"/>
      <c r="H105" s="13"/>
      <c r="I105" s="5"/>
      <c r="J105" s="10"/>
    </row>
    <row r="106" spans="1:10" ht="21" customHeight="1" x14ac:dyDescent="0.25">
      <c r="A106" s="11"/>
      <c r="B106" s="12"/>
      <c r="C106" s="12"/>
      <c r="D106" s="12"/>
      <c r="E106" s="10"/>
      <c r="F106" s="10"/>
      <c r="G106" s="10"/>
      <c r="H106" s="13"/>
      <c r="I106" s="5"/>
      <c r="J106" s="10"/>
    </row>
    <row r="107" spans="1:10" ht="21" customHeight="1" x14ac:dyDescent="0.25">
      <c r="A107" s="11"/>
      <c r="B107" s="12"/>
      <c r="C107" s="12"/>
      <c r="D107" s="12"/>
      <c r="E107" s="10"/>
      <c r="F107" s="10"/>
      <c r="G107" s="10"/>
      <c r="H107" s="13"/>
      <c r="I107" s="5"/>
      <c r="J107" s="10"/>
    </row>
    <row r="108" spans="1:10" ht="21" customHeight="1" x14ac:dyDescent="0.25">
      <c r="A108" s="11"/>
      <c r="B108" s="12"/>
      <c r="C108" s="12"/>
      <c r="D108" s="12"/>
      <c r="E108" s="10"/>
      <c r="F108" s="10"/>
      <c r="G108" s="10"/>
      <c r="H108" s="13"/>
      <c r="I108" s="5"/>
      <c r="J108" s="10"/>
    </row>
    <row r="109" spans="1:10" ht="21" customHeight="1" x14ac:dyDescent="0.25">
      <c r="A109" s="11"/>
      <c r="B109" s="12"/>
      <c r="C109" s="12"/>
      <c r="D109" s="12"/>
      <c r="E109" s="10"/>
      <c r="F109" s="10"/>
      <c r="G109" s="10"/>
      <c r="H109" s="13"/>
      <c r="I109" s="5"/>
      <c r="J109" s="10"/>
    </row>
    <row r="110" spans="1:10" ht="21" customHeight="1" x14ac:dyDescent="0.25">
      <c r="A110" s="11"/>
      <c r="B110" s="12"/>
      <c r="C110" s="12"/>
      <c r="D110" s="12"/>
      <c r="E110" s="10"/>
      <c r="F110" s="10"/>
      <c r="G110" s="10"/>
      <c r="H110" s="13"/>
      <c r="I110" s="5"/>
      <c r="J110" s="10"/>
    </row>
    <row r="111" spans="1:10" ht="21" customHeight="1" x14ac:dyDescent="0.25">
      <c r="A111" s="11"/>
      <c r="B111" s="12"/>
      <c r="C111" s="12"/>
      <c r="D111" s="12"/>
      <c r="E111" s="10"/>
      <c r="F111" s="10"/>
      <c r="G111" s="10"/>
      <c r="H111" s="13"/>
      <c r="I111" s="5"/>
      <c r="J111" s="10"/>
    </row>
    <row r="112" spans="1:10" ht="21" customHeight="1" x14ac:dyDescent="0.25">
      <c r="A112" s="11"/>
      <c r="B112" s="12"/>
      <c r="C112" s="12"/>
      <c r="D112" s="12"/>
      <c r="E112" s="10"/>
      <c r="F112" s="10"/>
      <c r="G112" s="10"/>
      <c r="H112" s="13"/>
      <c r="I112" s="5"/>
      <c r="J112" s="10"/>
    </row>
    <row r="113" spans="1:10" ht="21" customHeight="1" x14ac:dyDescent="0.25">
      <c r="A113" s="11"/>
      <c r="B113" s="12"/>
      <c r="C113" s="12"/>
      <c r="D113" s="12"/>
      <c r="E113" s="10"/>
      <c r="F113" s="10"/>
      <c r="G113" s="10"/>
      <c r="H113" s="13"/>
      <c r="I113" s="5"/>
      <c r="J113" s="10"/>
    </row>
    <row r="114" spans="1:10" ht="21" customHeight="1" x14ac:dyDescent="0.25">
      <c r="A114" s="11"/>
      <c r="B114" s="12"/>
      <c r="C114" s="12"/>
      <c r="D114" s="12"/>
      <c r="E114" s="10"/>
      <c r="F114" s="10"/>
      <c r="G114" s="10"/>
      <c r="H114" s="13"/>
      <c r="I114" s="5"/>
      <c r="J114" s="10"/>
    </row>
    <row r="115" spans="1:10" ht="21" customHeight="1" x14ac:dyDescent="0.25">
      <c r="A115" s="11"/>
      <c r="B115" s="12"/>
      <c r="C115" s="12"/>
      <c r="D115" s="12"/>
      <c r="E115" s="10"/>
      <c r="F115" s="10"/>
      <c r="G115" s="10"/>
      <c r="H115" s="13"/>
      <c r="I115" s="5"/>
      <c r="J115" s="10"/>
    </row>
    <row r="116" spans="1:10" ht="21" customHeight="1" x14ac:dyDescent="0.25">
      <c r="A116" s="11"/>
      <c r="B116" s="12"/>
      <c r="C116" s="12"/>
      <c r="D116" s="12"/>
      <c r="E116" s="10"/>
      <c r="F116" s="10"/>
      <c r="G116" s="10"/>
      <c r="H116" s="13"/>
      <c r="I116" s="5"/>
      <c r="J116" s="10"/>
    </row>
    <row r="117" spans="1:10" ht="21" customHeight="1" x14ac:dyDescent="0.25">
      <c r="A117" s="11"/>
      <c r="B117" s="12"/>
      <c r="C117" s="12"/>
      <c r="D117" s="12"/>
      <c r="E117" s="10"/>
      <c r="F117" s="10"/>
      <c r="G117" s="10"/>
      <c r="H117" s="13"/>
      <c r="I117" s="5"/>
      <c r="J117" s="10"/>
    </row>
    <row r="118" spans="1:10" ht="21" customHeight="1" x14ac:dyDescent="0.25">
      <c r="A118" s="11"/>
      <c r="B118" s="12"/>
      <c r="C118" s="12"/>
      <c r="D118" s="12"/>
      <c r="E118" s="10"/>
      <c r="F118" s="10"/>
      <c r="G118" s="10"/>
      <c r="H118" s="13"/>
      <c r="I118" s="5"/>
      <c r="J118" s="10"/>
    </row>
    <row r="119" spans="1:10" ht="21" customHeight="1" x14ac:dyDescent="0.25">
      <c r="A119" s="11"/>
      <c r="B119" s="12"/>
      <c r="C119" s="12"/>
      <c r="D119" s="12"/>
      <c r="E119" s="10"/>
      <c r="F119" s="10"/>
      <c r="G119" s="10"/>
      <c r="H119" s="13"/>
      <c r="I119" s="5"/>
      <c r="J119" s="10"/>
    </row>
    <row r="120" spans="1:10" ht="21" customHeight="1" x14ac:dyDescent="0.25">
      <c r="A120" s="11"/>
      <c r="B120" s="12"/>
      <c r="C120" s="12"/>
      <c r="D120" s="12"/>
      <c r="E120" s="10"/>
      <c r="F120" s="10"/>
      <c r="G120" s="10"/>
      <c r="H120" s="13"/>
      <c r="I120" s="5"/>
      <c r="J120" s="10"/>
    </row>
    <row r="121" spans="1:10" ht="21" customHeight="1" x14ac:dyDescent="0.25">
      <c r="A121" s="11"/>
      <c r="B121" s="12"/>
      <c r="C121" s="12"/>
      <c r="D121" s="12"/>
      <c r="E121" s="10"/>
      <c r="F121" s="10"/>
      <c r="G121" s="10"/>
      <c r="H121" s="13"/>
      <c r="I121" s="5"/>
      <c r="J121" s="10"/>
    </row>
    <row r="122" spans="1:10" ht="21" customHeight="1" x14ac:dyDescent="0.25">
      <c r="A122" s="11"/>
      <c r="B122" s="12"/>
      <c r="C122" s="12"/>
      <c r="D122" s="12"/>
      <c r="E122" s="10"/>
      <c r="F122" s="10"/>
      <c r="G122" s="10"/>
      <c r="H122" s="13"/>
      <c r="I122" s="5"/>
      <c r="J122" s="10"/>
    </row>
    <row r="123" spans="1:10" ht="21" customHeight="1" x14ac:dyDescent="0.25">
      <c r="A123" s="11"/>
      <c r="B123" s="12"/>
      <c r="C123" s="12"/>
      <c r="D123" s="12"/>
      <c r="E123" s="10"/>
      <c r="F123" s="10"/>
      <c r="G123" s="10"/>
      <c r="H123" s="13"/>
      <c r="I123" s="5"/>
      <c r="J123" s="10"/>
    </row>
    <row r="124" spans="1:10" ht="21" customHeight="1" x14ac:dyDescent="0.25">
      <c r="A124" s="11"/>
      <c r="B124" s="12"/>
      <c r="C124" s="12"/>
      <c r="D124" s="12"/>
      <c r="E124" s="10"/>
      <c r="F124" s="10"/>
      <c r="G124" s="10"/>
      <c r="H124" s="13"/>
      <c r="I124" s="5"/>
      <c r="J124" s="10"/>
    </row>
    <row r="125" spans="1:10" ht="21" customHeight="1" x14ac:dyDescent="0.25">
      <c r="A125" s="11"/>
      <c r="B125" s="12"/>
      <c r="C125" s="12"/>
      <c r="D125" s="12"/>
      <c r="E125" s="10"/>
      <c r="F125" s="10"/>
      <c r="G125" s="10"/>
      <c r="H125" s="13"/>
      <c r="I125" s="5"/>
      <c r="J125" s="10"/>
    </row>
    <row r="126" spans="1:10" ht="21" customHeight="1" x14ac:dyDescent="0.25">
      <c r="A126" s="11"/>
      <c r="B126" s="12"/>
      <c r="C126" s="12"/>
      <c r="D126" s="12"/>
      <c r="E126" s="10"/>
      <c r="F126" s="10"/>
      <c r="G126" s="10"/>
      <c r="H126" s="13"/>
      <c r="I126" s="5"/>
      <c r="J126" s="10"/>
    </row>
    <row r="127" spans="1:10" ht="21" customHeight="1" x14ac:dyDescent="0.25">
      <c r="A127" s="11"/>
      <c r="B127" s="12"/>
      <c r="C127" s="12"/>
      <c r="D127" s="12"/>
      <c r="E127" s="10"/>
      <c r="F127" s="10"/>
      <c r="G127" s="10"/>
      <c r="H127" s="13"/>
      <c r="I127" s="5"/>
      <c r="J127" s="10"/>
    </row>
    <row r="128" spans="1:10" ht="21" customHeight="1" x14ac:dyDescent="0.25">
      <c r="A128" s="11"/>
      <c r="B128" s="12"/>
      <c r="C128" s="12"/>
      <c r="D128" s="12"/>
      <c r="E128" s="10"/>
      <c r="F128" s="10"/>
      <c r="G128" s="10"/>
      <c r="H128" s="13"/>
      <c r="I128" s="5"/>
      <c r="J128" s="10"/>
    </row>
    <row r="129" spans="1:10" ht="21" customHeight="1" x14ac:dyDescent="0.25">
      <c r="A129" s="11"/>
      <c r="B129" s="12"/>
      <c r="C129" s="12"/>
      <c r="D129" s="12"/>
      <c r="E129" s="10"/>
      <c r="F129" s="10"/>
      <c r="G129" s="10"/>
      <c r="H129" s="13"/>
      <c r="I129" s="5"/>
      <c r="J129" s="10"/>
    </row>
    <row r="130" spans="1:10" ht="21" customHeight="1" x14ac:dyDescent="0.25">
      <c r="A130" s="11"/>
      <c r="B130" s="12"/>
      <c r="C130" s="12"/>
      <c r="D130" s="12"/>
      <c r="E130" s="10"/>
      <c r="F130" s="10"/>
      <c r="G130" s="10"/>
      <c r="H130" s="13"/>
      <c r="I130" s="5"/>
      <c r="J130" s="10"/>
    </row>
    <row r="131" spans="1:10" ht="21" customHeight="1" x14ac:dyDescent="0.25">
      <c r="A131" s="11"/>
      <c r="B131" s="12"/>
      <c r="C131" s="12"/>
      <c r="D131" s="12"/>
      <c r="E131" s="10"/>
      <c r="F131" s="10"/>
      <c r="G131" s="10"/>
      <c r="H131" s="13"/>
      <c r="I131" s="5"/>
      <c r="J131" s="10"/>
    </row>
    <row r="132" spans="1:10" ht="21" customHeight="1" x14ac:dyDescent="0.25">
      <c r="A132" s="11"/>
      <c r="B132" s="12"/>
      <c r="C132" s="12"/>
      <c r="D132" s="12"/>
      <c r="E132" s="10"/>
      <c r="F132" s="10"/>
      <c r="G132" s="10"/>
      <c r="H132" s="13"/>
      <c r="I132" s="5"/>
      <c r="J132" s="10"/>
    </row>
    <row r="133" spans="1:10" ht="21" customHeight="1" x14ac:dyDescent="0.25">
      <c r="A133" s="11"/>
      <c r="B133" s="12"/>
      <c r="C133" s="12"/>
      <c r="D133" s="12"/>
      <c r="E133" s="10"/>
      <c r="F133" s="10"/>
      <c r="G133" s="10"/>
      <c r="H133" s="13"/>
      <c r="I133" s="5"/>
      <c r="J133" s="10"/>
    </row>
    <row r="134" spans="1:10" ht="21" customHeight="1" x14ac:dyDescent="0.25">
      <c r="A134" s="11"/>
      <c r="B134" s="12"/>
      <c r="C134" s="12"/>
      <c r="D134" s="12"/>
      <c r="E134" s="10"/>
      <c r="F134" s="10"/>
      <c r="G134" s="10"/>
      <c r="H134" s="13"/>
      <c r="I134" s="5"/>
      <c r="J134" s="10"/>
    </row>
    <row r="135" spans="1:10" ht="21" customHeight="1" x14ac:dyDescent="0.25">
      <c r="A135" s="11"/>
      <c r="B135" s="12"/>
      <c r="C135" s="12"/>
      <c r="D135" s="12"/>
      <c r="E135" s="10"/>
      <c r="F135" s="10"/>
      <c r="G135" s="10"/>
      <c r="H135" s="13"/>
      <c r="I135" s="5"/>
      <c r="J135" s="10"/>
    </row>
    <row r="136" spans="1:10" ht="21" customHeight="1" x14ac:dyDescent="0.25">
      <c r="A136" s="11"/>
      <c r="B136" s="12"/>
      <c r="C136" s="12"/>
      <c r="D136" s="12"/>
      <c r="E136" s="10"/>
      <c r="F136" s="10"/>
      <c r="G136" s="10"/>
      <c r="H136" s="13"/>
      <c r="I136" s="5"/>
      <c r="J136" s="10"/>
    </row>
    <row r="137" spans="1:10" ht="21" customHeight="1" x14ac:dyDescent="0.25">
      <c r="A137" s="11"/>
      <c r="B137" s="12"/>
      <c r="C137" s="12"/>
      <c r="D137" s="12"/>
      <c r="E137" s="10"/>
      <c r="F137" s="10"/>
      <c r="G137" s="10"/>
      <c r="H137" s="13"/>
      <c r="I137" s="5"/>
      <c r="J137" s="10"/>
    </row>
    <row r="138" spans="1:10" ht="21" customHeight="1" x14ac:dyDescent="0.25">
      <c r="A138" s="11"/>
      <c r="B138" s="12"/>
      <c r="C138" s="12"/>
      <c r="D138" s="12"/>
      <c r="E138" s="10"/>
      <c r="F138" s="10"/>
      <c r="G138" s="10"/>
      <c r="H138" s="13"/>
      <c r="I138" s="5"/>
      <c r="J138" s="10"/>
    </row>
    <row r="139" spans="1:10" ht="21" customHeight="1" x14ac:dyDescent="0.25">
      <c r="A139" s="11"/>
      <c r="B139" s="12"/>
      <c r="C139" s="12"/>
      <c r="D139" s="12"/>
      <c r="E139" s="10"/>
      <c r="F139" s="10"/>
      <c r="G139" s="10"/>
      <c r="H139" s="13"/>
      <c r="I139" s="5"/>
      <c r="J139" s="10"/>
    </row>
    <row r="140" spans="1:10" ht="21" customHeight="1" x14ac:dyDescent="0.25">
      <c r="A140" s="11"/>
      <c r="B140" s="12"/>
      <c r="C140" s="12"/>
      <c r="D140" s="12"/>
      <c r="E140" s="10"/>
      <c r="F140" s="10"/>
      <c r="G140" s="10"/>
      <c r="H140" s="13"/>
      <c r="I140" s="5"/>
      <c r="J140" s="10"/>
    </row>
    <row r="141" spans="1:10" ht="21" customHeight="1" x14ac:dyDescent="0.25">
      <c r="A141" s="11"/>
      <c r="B141" s="12"/>
      <c r="C141" s="12"/>
      <c r="D141" s="12"/>
      <c r="E141" s="10"/>
      <c r="F141" s="10"/>
      <c r="G141" s="10"/>
      <c r="H141" s="13"/>
      <c r="I141" s="5"/>
      <c r="J141" s="10"/>
    </row>
    <row r="142" spans="1:10" ht="21" customHeight="1" x14ac:dyDescent="0.25">
      <c r="A142" s="11"/>
      <c r="B142" s="12"/>
      <c r="C142" s="12"/>
      <c r="D142" s="12"/>
      <c r="E142" s="10"/>
      <c r="F142" s="10"/>
      <c r="G142" s="10"/>
      <c r="H142" s="13"/>
      <c r="I142" s="5"/>
      <c r="J142" s="10"/>
    </row>
    <row r="143" spans="1:10" ht="21" customHeight="1" x14ac:dyDescent="0.25">
      <c r="A143" s="11"/>
      <c r="B143" s="12"/>
      <c r="C143" s="12"/>
      <c r="D143" s="12"/>
      <c r="E143" s="10"/>
      <c r="F143" s="10"/>
      <c r="G143" s="10"/>
      <c r="H143" s="13"/>
      <c r="I143" s="5"/>
      <c r="J143" s="10"/>
    </row>
    <row r="144" spans="1:10" ht="21" customHeight="1" x14ac:dyDescent="0.25">
      <c r="A144" s="11"/>
      <c r="B144" s="12"/>
      <c r="C144" s="12"/>
      <c r="D144" s="12"/>
      <c r="E144" s="10"/>
      <c r="F144" s="10"/>
      <c r="G144" s="10"/>
      <c r="H144" s="13"/>
      <c r="I144" s="5"/>
      <c r="J144" s="10"/>
    </row>
    <row r="145" spans="1:10" ht="21" customHeight="1" x14ac:dyDescent="0.25">
      <c r="A145" s="11"/>
      <c r="B145" s="12"/>
      <c r="C145" s="12"/>
      <c r="D145" s="12"/>
      <c r="E145" s="10"/>
      <c r="F145" s="10"/>
      <c r="G145" s="10"/>
      <c r="H145" s="13"/>
      <c r="I145" s="5"/>
      <c r="J145" s="10"/>
    </row>
    <row r="146" spans="1:10" ht="21" customHeight="1" x14ac:dyDescent="0.25">
      <c r="A146" s="11"/>
      <c r="B146" s="12"/>
      <c r="C146" s="12"/>
      <c r="D146" s="12"/>
      <c r="E146" s="10"/>
      <c r="F146" s="10"/>
      <c r="G146" s="10"/>
      <c r="H146" s="13"/>
      <c r="I146" s="5"/>
      <c r="J146" s="10"/>
    </row>
    <row r="147" spans="1:10" ht="21" customHeight="1" x14ac:dyDescent="0.25">
      <c r="A147" s="11"/>
      <c r="B147" s="12"/>
      <c r="C147" s="12"/>
      <c r="D147" s="12"/>
      <c r="E147" s="10"/>
      <c r="F147" s="10"/>
      <c r="G147" s="10"/>
      <c r="H147" s="13"/>
      <c r="I147" s="5"/>
      <c r="J147" s="10"/>
    </row>
    <row r="148" spans="1:10" ht="21" customHeight="1" x14ac:dyDescent="0.25">
      <c r="A148" s="11"/>
      <c r="B148" s="12"/>
      <c r="C148" s="12"/>
      <c r="D148" s="12"/>
      <c r="E148" s="10"/>
      <c r="F148" s="10"/>
      <c r="G148" s="10"/>
      <c r="H148" s="13"/>
      <c r="I148" s="5"/>
      <c r="J148" s="10"/>
    </row>
    <row r="149" spans="1:10" ht="21" customHeight="1" x14ac:dyDescent="0.25">
      <c r="A149" s="11"/>
      <c r="B149" s="12"/>
      <c r="C149" s="12"/>
      <c r="D149" s="12"/>
      <c r="E149" s="10"/>
      <c r="F149" s="10"/>
      <c r="G149" s="10"/>
      <c r="H149" s="13"/>
      <c r="I149" s="5"/>
      <c r="J149" s="10"/>
    </row>
    <row r="150" spans="1:10" ht="21" customHeight="1" x14ac:dyDescent="0.25">
      <c r="A150" s="11"/>
      <c r="B150" s="12"/>
      <c r="C150" s="12"/>
      <c r="D150" s="12"/>
      <c r="E150" s="10"/>
      <c r="F150" s="10"/>
      <c r="G150" s="10"/>
      <c r="H150" s="13"/>
      <c r="I150" s="5"/>
      <c r="J150" s="10"/>
    </row>
    <row r="151" spans="1:10" ht="21" customHeight="1" x14ac:dyDescent="0.25">
      <c r="A151" s="11"/>
      <c r="B151" s="12"/>
      <c r="C151" s="12"/>
      <c r="D151" s="12"/>
      <c r="E151" s="10"/>
      <c r="F151" s="10"/>
      <c r="G151" s="10"/>
      <c r="H151" s="13"/>
      <c r="I151" s="5"/>
      <c r="J151" s="10"/>
    </row>
    <row r="152" spans="1:10" ht="21" customHeight="1" x14ac:dyDescent="0.25">
      <c r="A152" s="11"/>
      <c r="B152" s="12"/>
      <c r="C152" s="12"/>
      <c r="D152" s="12"/>
      <c r="E152" s="10"/>
      <c r="F152" s="10"/>
      <c r="G152" s="10"/>
      <c r="H152" s="13"/>
      <c r="I152" s="5"/>
      <c r="J152" s="10"/>
    </row>
    <row r="153" spans="1:10" ht="21" customHeight="1" x14ac:dyDescent="0.25">
      <c r="A153" s="11"/>
      <c r="B153" s="12"/>
      <c r="C153" s="12"/>
      <c r="D153" s="12"/>
      <c r="E153" s="10"/>
      <c r="F153" s="10"/>
      <c r="G153" s="10"/>
      <c r="H153" s="13"/>
      <c r="I153" s="5"/>
      <c r="J153" s="10"/>
    </row>
    <row r="154" spans="1:10" ht="21" customHeight="1" x14ac:dyDescent="0.25">
      <c r="A154" s="11"/>
      <c r="B154" s="12"/>
      <c r="C154" s="12"/>
      <c r="D154" s="12"/>
      <c r="E154" s="10"/>
      <c r="F154" s="10"/>
      <c r="G154" s="10"/>
      <c r="H154" s="13"/>
      <c r="I154" s="5"/>
      <c r="J154" s="10"/>
    </row>
    <row r="155" spans="1:10" ht="21" customHeight="1" x14ac:dyDescent="0.25">
      <c r="A155" s="11"/>
      <c r="B155" s="12"/>
      <c r="C155" s="12"/>
      <c r="D155" s="12"/>
      <c r="E155" s="10"/>
      <c r="F155" s="10"/>
      <c r="G155" s="10"/>
      <c r="H155" s="13"/>
      <c r="I155" s="5"/>
      <c r="J155" s="10"/>
    </row>
    <row r="156" spans="1:10" ht="21" customHeight="1" x14ac:dyDescent="0.25">
      <c r="A156" s="11"/>
      <c r="B156" s="12"/>
      <c r="C156" s="12"/>
      <c r="D156" s="12"/>
      <c r="E156" s="10"/>
      <c r="F156" s="10"/>
      <c r="G156" s="10"/>
      <c r="H156" s="13"/>
      <c r="I156" s="5"/>
      <c r="J156" s="10"/>
    </row>
    <row r="157" spans="1:10" ht="21" customHeight="1" x14ac:dyDescent="0.25">
      <c r="A157" s="11"/>
      <c r="B157" s="12"/>
    </row>
  </sheetData>
  <mergeCells count="9">
    <mergeCell ref="B11:B13"/>
    <mergeCell ref="B22:B29"/>
    <mergeCell ref="A30:I30"/>
    <mergeCell ref="I1:J1"/>
    <mergeCell ref="B1:H1"/>
    <mergeCell ref="B4:B5"/>
    <mergeCell ref="B6:B10"/>
    <mergeCell ref="B14:B17"/>
    <mergeCell ref="B18:B21"/>
  </mergeCells>
  <printOptions horizontalCentered="1"/>
  <pageMargins left="0.25" right="0.25" top="0.25" bottom="0.25" header="0" footer="0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F53B-1491-496D-8C0B-304BAAD70C49}">
  <sheetPr>
    <pageSetUpPr fitToPage="1"/>
  </sheetPr>
  <dimension ref="A1:O108"/>
  <sheetViews>
    <sheetView topLeftCell="A13" zoomScaleNormal="100" workbookViewId="0">
      <selection activeCell="E34" sqref="E34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50.28515625" style="1" customWidth="1"/>
    <col min="6" max="6" width="10.7109375" style="4" customWidth="1"/>
    <col min="7" max="10" width="12.7109375" style="1" customWidth="1"/>
    <col min="11" max="11" width="13.7109375" style="108" customWidth="1"/>
    <col min="12" max="12" width="16.42578125" style="108" customWidth="1"/>
    <col min="13" max="14" width="14.42578125" style="108"/>
    <col min="15" max="16384" width="14.42578125" style="1"/>
  </cols>
  <sheetData>
    <row r="1" spans="1:15" ht="21" customHeight="1" x14ac:dyDescent="0.25">
      <c r="A1" s="1" t="s">
        <v>0</v>
      </c>
      <c r="B1" s="379" t="s">
        <v>13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2"/>
      <c r="E2" s="3"/>
      <c r="F2" s="42"/>
      <c r="G2" s="3"/>
      <c r="H2" s="4"/>
      <c r="I2" s="5"/>
    </row>
    <row r="3" spans="1:15" ht="42" customHeight="1" x14ac:dyDescent="0.25">
      <c r="A3" s="53" t="s">
        <v>30</v>
      </c>
      <c r="B3" s="53" t="s">
        <v>17</v>
      </c>
      <c r="C3" s="6" t="s">
        <v>18</v>
      </c>
      <c r="D3" s="6" t="s">
        <v>19</v>
      </c>
      <c r="E3" s="7" t="s">
        <v>20</v>
      </c>
      <c r="F3" s="8" t="s">
        <v>55</v>
      </c>
      <c r="G3" s="8" t="s">
        <v>21</v>
      </c>
      <c r="H3" s="6" t="s">
        <v>22</v>
      </c>
      <c r="I3" s="9" t="s">
        <v>23</v>
      </c>
      <c r="J3" s="6" t="s">
        <v>24</v>
      </c>
      <c r="K3" s="303"/>
      <c r="L3" s="303"/>
      <c r="M3" s="339"/>
      <c r="N3" s="303"/>
    </row>
    <row r="4" spans="1:15" ht="21" customHeight="1" x14ac:dyDescent="0.25">
      <c r="A4" s="111">
        <v>1</v>
      </c>
      <c r="B4" s="404" t="s">
        <v>120</v>
      </c>
      <c r="C4" s="25">
        <v>8888626131030</v>
      </c>
      <c r="D4" s="185">
        <v>108371</v>
      </c>
      <c r="E4" s="99" t="s">
        <v>62</v>
      </c>
      <c r="F4" s="111">
        <v>4</v>
      </c>
      <c r="G4" s="27">
        <v>15.9</v>
      </c>
      <c r="H4" s="27">
        <v>15.9</v>
      </c>
      <c r="I4" s="28">
        <v>120</v>
      </c>
      <c r="J4" s="33">
        <f>I4*H4</f>
        <v>1908</v>
      </c>
      <c r="K4" s="366"/>
      <c r="M4" s="222"/>
      <c r="O4" s="233"/>
    </row>
    <row r="5" spans="1:15" s="73" customFormat="1" ht="21" customHeight="1" x14ac:dyDescent="0.25">
      <c r="A5" s="111">
        <v>2</v>
      </c>
      <c r="B5" s="405"/>
      <c r="C5" s="25">
        <v>8888626129068</v>
      </c>
      <c r="D5" s="185">
        <v>108342</v>
      </c>
      <c r="E5" s="99" t="s">
        <v>100</v>
      </c>
      <c r="F5" s="111">
        <v>4</v>
      </c>
      <c r="G5" s="27">
        <v>13.5</v>
      </c>
      <c r="H5" s="27">
        <v>13.5</v>
      </c>
      <c r="I5" s="28">
        <v>80</v>
      </c>
      <c r="J5" s="33">
        <f t="shared" ref="J5:J32" si="0">I5*H5</f>
        <v>1080</v>
      </c>
      <c r="K5" s="366"/>
      <c r="L5" s="108"/>
      <c r="M5" s="222"/>
      <c r="N5" s="108"/>
      <c r="O5" s="233"/>
    </row>
    <row r="6" spans="1:15" s="205" customFormat="1" ht="21" customHeight="1" x14ac:dyDescent="0.25">
      <c r="A6" s="248">
        <v>3</v>
      </c>
      <c r="B6" s="405"/>
      <c r="C6" s="25">
        <v>8888626160443</v>
      </c>
      <c r="D6" s="301">
        <v>109164</v>
      </c>
      <c r="E6" s="99" t="s">
        <v>267</v>
      </c>
      <c r="F6" s="248">
        <v>4</v>
      </c>
      <c r="G6" s="27">
        <v>7.99</v>
      </c>
      <c r="H6" s="27">
        <v>7.99</v>
      </c>
      <c r="I6" s="28">
        <v>16</v>
      </c>
      <c r="J6" s="33">
        <f t="shared" si="0"/>
        <v>127.84</v>
      </c>
      <c r="K6" s="366"/>
      <c r="L6" s="108"/>
      <c r="M6" s="222"/>
      <c r="N6" s="108"/>
      <c r="O6" s="233"/>
    </row>
    <row r="7" spans="1:15" s="82" customFormat="1" ht="21" customHeight="1" x14ac:dyDescent="0.25">
      <c r="A7" s="248">
        <v>4</v>
      </c>
      <c r="B7" s="405"/>
      <c r="C7" s="117">
        <v>8888626102733</v>
      </c>
      <c r="D7" s="268">
        <v>107876</v>
      </c>
      <c r="E7" s="270" t="s">
        <v>239</v>
      </c>
      <c r="F7" s="237">
        <v>5</v>
      </c>
      <c r="G7" s="27">
        <v>6.99</v>
      </c>
      <c r="H7" s="27">
        <v>6.99</v>
      </c>
      <c r="I7" s="28">
        <v>15</v>
      </c>
      <c r="J7" s="33">
        <f t="shared" si="0"/>
        <v>104.85000000000001</v>
      </c>
      <c r="K7" s="366"/>
      <c r="L7" s="108"/>
      <c r="M7" s="222"/>
      <c r="N7" s="108"/>
      <c r="O7" s="233"/>
    </row>
    <row r="8" spans="1:15" s="164" customFormat="1" ht="21" customHeight="1" x14ac:dyDescent="0.25">
      <c r="A8" s="248">
        <v>5</v>
      </c>
      <c r="B8" s="405"/>
      <c r="C8" s="25">
        <v>8888626011240</v>
      </c>
      <c r="D8" s="210">
        <v>105508</v>
      </c>
      <c r="E8" s="99" t="s">
        <v>283</v>
      </c>
      <c r="F8" s="211">
        <v>20</v>
      </c>
      <c r="G8" s="27">
        <v>1.99</v>
      </c>
      <c r="H8" s="27">
        <v>1.99</v>
      </c>
      <c r="I8" s="28">
        <v>20</v>
      </c>
      <c r="J8" s="33">
        <f t="shared" si="0"/>
        <v>39.799999999999997</v>
      </c>
      <c r="K8" s="366"/>
      <c r="L8" s="108"/>
      <c r="M8" s="222"/>
      <c r="N8" s="108"/>
      <c r="O8" s="233"/>
    </row>
    <row r="9" spans="1:15" ht="21" customHeight="1" x14ac:dyDescent="0.25">
      <c r="A9" s="248">
        <v>6</v>
      </c>
      <c r="B9" s="405"/>
      <c r="C9" s="25">
        <v>8888626155234</v>
      </c>
      <c r="D9" s="185">
        <v>109017</v>
      </c>
      <c r="E9" s="99" t="s">
        <v>152</v>
      </c>
      <c r="F9" s="111">
        <v>3</v>
      </c>
      <c r="G9" s="27">
        <v>7.65</v>
      </c>
      <c r="H9" s="27">
        <v>7.65</v>
      </c>
      <c r="I9" s="29">
        <v>159</v>
      </c>
      <c r="J9" s="33">
        <f t="shared" si="0"/>
        <v>1216.3500000000001</v>
      </c>
      <c r="K9" s="366"/>
      <c r="M9" s="222"/>
      <c r="O9" s="233"/>
    </row>
    <row r="10" spans="1:15" s="79" customFormat="1" ht="21" customHeight="1" x14ac:dyDescent="0.25">
      <c r="A10" s="248">
        <v>7</v>
      </c>
      <c r="B10" s="405"/>
      <c r="C10" s="25">
        <v>8888626138664</v>
      </c>
      <c r="D10" s="185">
        <v>108505</v>
      </c>
      <c r="E10" s="99" t="s">
        <v>84</v>
      </c>
      <c r="F10" s="111">
        <v>4</v>
      </c>
      <c r="G10" s="27">
        <v>13.5</v>
      </c>
      <c r="H10" s="27">
        <v>13.5</v>
      </c>
      <c r="I10" s="29">
        <v>80</v>
      </c>
      <c r="J10" s="33">
        <f t="shared" si="0"/>
        <v>1080</v>
      </c>
      <c r="K10" s="366"/>
      <c r="L10" s="108"/>
      <c r="M10" s="222"/>
      <c r="N10" s="108"/>
      <c r="O10" s="233"/>
    </row>
    <row r="11" spans="1:15" s="92" customFormat="1" ht="21" customHeight="1" x14ac:dyDescent="0.25">
      <c r="A11" s="248">
        <v>8</v>
      </c>
      <c r="B11" s="405"/>
      <c r="C11" s="119" t="s">
        <v>46</v>
      </c>
      <c r="D11" s="284">
        <v>107877</v>
      </c>
      <c r="E11" s="99" t="s">
        <v>56</v>
      </c>
      <c r="F11" s="248">
        <v>6</v>
      </c>
      <c r="G11" s="27">
        <v>12.99</v>
      </c>
      <c r="H11" s="27">
        <v>12.99</v>
      </c>
      <c r="I11" s="28">
        <v>222</v>
      </c>
      <c r="J11" s="33">
        <f t="shared" si="0"/>
        <v>2883.78</v>
      </c>
      <c r="K11" s="366"/>
      <c r="L11" s="108"/>
      <c r="M11" s="222"/>
      <c r="N11" s="108"/>
      <c r="O11" s="233"/>
    </row>
    <row r="12" spans="1:15" s="65" customFormat="1" ht="21" customHeight="1" x14ac:dyDescent="0.25">
      <c r="A12" s="248">
        <v>9</v>
      </c>
      <c r="B12" s="405"/>
      <c r="C12" s="119" t="s">
        <v>310</v>
      </c>
      <c r="D12" s="321">
        <v>107802</v>
      </c>
      <c r="E12" s="99" t="s">
        <v>297</v>
      </c>
      <c r="F12" s="248">
        <v>10</v>
      </c>
      <c r="G12" s="27">
        <v>8.9</v>
      </c>
      <c r="H12" s="27">
        <v>8.9</v>
      </c>
      <c r="I12" s="28">
        <v>20</v>
      </c>
      <c r="J12" s="33">
        <f t="shared" si="0"/>
        <v>178</v>
      </c>
      <c r="K12" s="366"/>
      <c r="L12" s="138"/>
      <c r="M12" s="136"/>
      <c r="N12" s="108"/>
      <c r="O12" s="233"/>
    </row>
    <row r="13" spans="1:15" s="65" customFormat="1" ht="21" customHeight="1" x14ac:dyDescent="0.25">
      <c r="A13" s="248">
        <v>10</v>
      </c>
      <c r="B13" s="405"/>
      <c r="C13" s="119" t="s">
        <v>311</v>
      </c>
      <c r="D13" s="321">
        <v>108352</v>
      </c>
      <c r="E13" s="99" t="s">
        <v>298</v>
      </c>
      <c r="F13" s="248">
        <v>10</v>
      </c>
      <c r="G13" s="27">
        <v>6.5</v>
      </c>
      <c r="H13" s="27">
        <v>6.5</v>
      </c>
      <c r="I13" s="28">
        <v>10</v>
      </c>
      <c r="J13" s="33">
        <f t="shared" si="0"/>
        <v>65</v>
      </c>
      <c r="K13" s="366"/>
      <c r="L13" s="138"/>
      <c r="M13" s="136"/>
      <c r="N13" s="108"/>
      <c r="O13" s="233"/>
    </row>
    <row r="14" spans="1:15" s="258" customFormat="1" ht="21" customHeight="1" x14ac:dyDescent="0.25">
      <c r="A14" s="248">
        <v>11</v>
      </c>
      <c r="B14" s="405"/>
      <c r="C14" s="25">
        <v>8888626129105</v>
      </c>
      <c r="D14" s="284">
        <v>108355</v>
      </c>
      <c r="E14" s="99" t="s">
        <v>85</v>
      </c>
      <c r="F14" s="248">
        <v>10</v>
      </c>
      <c r="G14" s="27">
        <v>4.25</v>
      </c>
      <c r="H14" s="27">
        <v>4.25</v>
      </c>
      <c r="I14" s="28">
        <v>20</v>
      </c>
      <c r="J14" s="33">
        <f t="shared" si="0"/>
        <v>85</v>
      </c>
      <c r="K14" s="366"/>
      <c r="L14" s="138"/>
      <c r="M14" s="136"/>
      <c r="N14" s="108"/>
      <c r="O14" s="233"/>
    </row>
    <row r="15" spans="1:15" s="258" customFormat="1" ht="21" customHeight="1" x14ac:dyDescent="0.25">
      <c r="A15" s="248">
        <v>12</v>
      </c>
      <c r="B15" s="405"/>
      <c r="C15" s="25">
        <v>8888626095479</v>
      </c>
      <c r="D15" s="346">
        <v>107752</v>
      </c>
      <c r="E15" s="99" t="s">
        <v>347</v>
      </c>
      <c r="F15" s="248">
        <v>10</v>
      </c>
      <c r="G15" s="27">
        <v>8.75</v>
      </c>
      <c r="H15" s="27">
        <v>8.75</v>
      </c>
      <c r="I15" s="28">
        <v>20</v>
      </c>
      <c r="J15" s="33">
        <f t="shared" si="0"/>
        <v>175</v>
      </c>
      <c r="K15" s="366"/>
      <c r="L15" s="138"/>
      <c r="M15" s="136"/>
      <c r="N15" s="108"/>
      <c r="O15" s="233"/>
    </row>
    <row r="16" spans="1:15" s="258" customFormat="1" ht="21" customHeight="1" x14ac:dyDescent="0.25">
      <c r="A16" s="248">
        <v>13</v>
      </c>
      <c r="B16" s="406"/>
      <c r="C16" s="25">
        <v>8888626154985</v>
      </c>
      <c r="D16" s="288">
        <v>108979</v>
      </c>
      <c r="E16" s="99" t="s">
        <v>168</v>
      </c>
      <c r="F16" s="66">
        <v>6</v>
      </c>
      <c r="G16" s="27">
        <v>7.8</v>
      </c>
      <c r="H16" s="27">
        <v>7.8</v>
      </c>
      <c r="I16" s="28">
        <v>36</v>
      </c>
      <c r="J16" s="33">
        <f t="shared" si="0"/>
        <v>280.8</v>
      </c>
      <c r="K16" s="366"/>
      <c r="L16" s="138"/>
      <c r="M16" s="136"/>
      <c r="N16" s="108"/>
      <c r="O16" s="233"/>
    </row>
    <row r="17" spans="1:15" s="262" customFormat="1" ht="21" customHeight="1" x14ac:dyDescent="0.25">
      <c r="A17" s="248">
        <v>14</v>
      </c>
      <c r="B17" s="401" t="s">
        <v>164</v>
      </c>
      <c r="C17" s="25">
        <v>8888626140292</v>
      </c>
      <c r="D17" s="301">
        <v>108614</v>
      </c>
      <c r="E17" s="99" t="s">
        <v>268</v>
      </c>
      <c r="F17" s="66">
        <v>12</v>
      </c>
      <c r="G17" s="27">
        <v>6.5</v>
      </c>
      <c r="H17" s="27">
        <v>6.5</v>
      </c>
      <c r="I17" s="28">
        <v>12</v>
      </c>
      <c r="J17" s="33">
        <f t="shared" si="0"/>
        <v>78</v>
      </c>
      <c r="K17" s="366"/>
      <c r="L17" s="138"/>
      <c r="M17" s="136"/>
      <c r="N17" s="108"/>
      <c r="O17" s="233"/>
    </row>
    <row r="18" spans="1:15" s="262" customFormat="1" ht="21" customHeight="1" x14ac:dyDescent="0.25">
      <c r="A18" s="248">
        <v>15</v>
      </c>
      <c r="B18" s="402"/>
      <c r="C18" s="25" t="s">
        <v>229</v>
      </c>
      <c r="D18" s="293">
        <v>108086</v>
      </c>
      <c r="E18" s="99" t="s">
        <v>230</v>
      </c>
      <c r="F18" s="66">
        <v>12</v>
      </c>
      <c r="G18" s="27">
        <v>7.9</v>
      </c>
      <c r="H18" s="27">
        <v>7.9</v>
      </c>
      <c r="I18" s="28">
        <v>60</v>
      </c>
      <c r="J18" s="33">
        <f t="shared" si="0"/>
        <v>474</v>
      </c>
      <c r="K18" s="366"/>
      <c r="L18" s="138"/>
      <c r="M18" s="136"/>
      <c r="N18" s="108"/>
      <c r="O18" s="233"/>
    </row>
    <row r="19" spans="1:15" s="70" customFormat="1" ht="21" customHeight="1" x14ac:dyDescent="0.25">
      <c r="A19" s="248">
        <v>16</v>
      </c>
      <c r="B19" s="402"/>
      <c r="C19" s="25" t="s">
        <v>231</v>
      </c>
      <c r="D19" s="293">
        <v>109366</v>
      </c>
      <c r="E19" s="99" t="s">
        <v>232</v>
      </c>
      <c r="F19" s="66">
        <v>12</v>
      </c>
      <c r="G19" s="27">
        <v>5.9</v>
      </c>
      <c r="H19" s="27">
        <v>5.9</v>
      </c>
      <c r="I19" s="28">
        <v>24</v>
      </c>
      <c r="J19" s="33">
        <f t="shared" si="0"/>
        <v>141.60000000000002</v>
      </c>
      <c r="K19" s="366"/>
      <c r="L19" s="108"/>
      <c r="M19" s="222"/>
      <c r="N19" s="108"/>
      <c r="O19" s="233"/>
    </row>
    <row r="20" spans="1:15" s="24" customFormat="1" ht="21" customHeight="1" x14ac:dyDescent="0.25">
      <c r="A20" s="248">
        <v>17</v>
      </c>
      <c r="B20" s="402"/>
      <c r="C20" s="25" t="s">
        <v>233</v>
      </c>
      <c r="D20" s="293">
        <v>109367</v>
      </c>
      <c r="E20" s="99" t="s">
        <v>234</v>
      </c>
      <c r="F20" s="66">
        <v>6</v>
      </c>
      <c r="G20" s="27">
        <v>13.9</v>
      </c>
      <c r="H20" s="27">
        <v>13.9</v>
      </c>
      <c r="I20" s="28">
        <v>30</v>
      </c>
      <c r="J20" s="33">
        <f t="shared" si="0"/>
        <v>417</v>
      </c>
      <c r="K20" s="366"/>
      <c r="L20" s="108"/>
      <c r="M20" s="222"/>
      <c r="N20" s="108"/>
      <c r="O20" s="233"/>
    </row>
    <row r="21" spans="1:15" s="24" customFormat="1" ht="21" customHeight="1" x14ac:dyDescent="0.25">
      <c r="A21" s="248">
        <v>18</v>
      </c>
      <c r="B21" s="402"/>
      <c r="C21" s="25" t="s">
        <v>260</v>
      </c>
      <c r="D21" s="293">
        <v>108212</v>
      </c>
      <c r="E21" s="99" t="s">
        <v>261</v>
      </c>
      <c r="F21" s="66">
        <v>6</v>
      </c>
      <c r="G21" s="27">
        <v>13.9</v>
      </c>
      <c r="H21" s="27">
        <v>13.9</v>
      </c>
      <c r="I21" s="28">
        <v>24</v>
      </c>
      <c r="J21" s="33">
        <f t="shared" si="0"/>
        <v>333.6</v>
      </c>
      <c r="K21" s="366"/>
      <c r="L21" s="108"/>
      <c r="M21" s="222"/>
      <c r="N21" s="108"/>
      <c r="O21" s="233"/>
    </row>
    <row r="22" spans="1:15" s="263" customFormat="1" ht="21" customHeight="1" x14ac:dyDescent="0.25">
      <c r="A22" s="248">
        <v>19</v>
      </c>
      <c r="B22" s="402"/>
      <c r="C22" s="25">
        <v>8888626115139</v>
      </c>
      <c r="D22" s="293">
        <v>108085</v>
      </c>
      <c r="E22" s="99" t="s">
        <v>237</v>
      </c>
      <c r="F22" s="66">
        <v>6</v>
      </c>
      <c r="G22" s="27">
        <v>19.989999999999998</v>
      </c>
      <c r="H22" s="27">
        <v>19.989999999999998</v>
      </c>
      <c r="I22" s="28">
        <v>48</v>
      </c>
      <c r="J22" s="33">
        <f t="shared" si="0"/>
        <v>959.52</v>
      </c>
      <c r="K22" s="366"/>
      <c r="L22" s="108"/>
      <c r="M22" s="222"/>
      <c r="N22" s="108"/>
      <c r="O22" s="233"/>
    </row>
    <row r="23" spans="1:15" s="247" customFormat="1" ht="21" customHeight="1" x14ac:dyDescent="0.25">
      <c r="A23" s="248">
        <v>20</v>
      </c>
      <c r="B23" s="402"/>
      <c r="C23" s="25">
        <v>8888626118949</v>
      </c>
      <c r="D23" s="321">
        <v>108213</v>
      </c>
      <c r="E23" s="99" t="s">
        <v>238</v>
      </c>
      <c r="F23" s="66">
        <v>6</v>
      </c>
      <c r="G23" s="27">
        <v>19.989999999999998</v>
      </c>
      <c r="H23" s="27">
        <v>19.989999999999998</v>
      </c>
      <c r="I23" s="28">
        <v>30</v>
      </c>
      <c r="J23" s="33">
        <f t="shared" si="0"/>
        <v>599.69999999999993</v>
      </c>
      <c r="K23" s="366"/>
      <c r="L23" s="108"/>
      <c r="M23" s="222"/>
      <c r="N23" s="108"/>
      <c r="O23" s="233"/>
    </row>
    <row r="24" spans="1:15" s="126" customFormat="1" ht="21" customHeight="1" x14ac:dyDescent="0.25">
      <c r="A24" s="248">
        <v>21</v>
      </c>
      <c r="B24" s="402"/>
      <c r="C24" s="25">
        <v>8888626174518</v>
      </c>
      <c r="D24" s="346">
        <v>109620</v>
      </c>
      <c r="E24" s="99" t="s">
        <v>348</v>
      </c>
      <c r="F24" s="66">
        <v>6</v>
      </c>
      <c r="G24" s="304">
        <v>10.8</v>
      </c>
      <c r="H24" s="304">
        <v>10.8</v>
      </c>
      <c r="I24" s="28">
        <v>48</v>
      </c>
      <c r="J24" s="33">
        <f t="shared" si="0"/>
        <v>518.40000000000009</v>
      </c>
      <c r="K24" s="366"/>
      <c r="L24" s="108"/>
      <c r="M24" s="222"/>
      <c r="N24" s="108"/>
      <c r="O24" s="233"/>
    </row>
    <row r="25" spans="1:15" s="128" customFormat="1" ht="21" customHeight="1" x14ac:dyDescent="0.25">
      <c r="A25" s="248">
        <v>22</v>
      </c>
      <c r="B25" s="402"/>
      <c r="C25" s="25">
        <v>8888626157122</v>
      </c>
      <c r="D25" s="346">
        <v>109053</v>
      </c>
      <c r="E25" s="99" t="s">
        <v>349</v>
      </c>
      <c r="F25" s="66">
        <v>6</v>
      </c>
      <c r="G25" s="27">
        <v>8.5</v>
      </c>
      <c r="H25" s="27">
        <v>8.5</v>
      </c>
      <c r="I25" s="28">
        <v>30</v>
      </c>
      <c r="J25" s="33">
        <f t="shared" si="0"/>
        <v>255</v>
      </c>
      <c r="K25" s="366"/>
      <c r="L25" s="108"/>
      <c r="M25" s="222"/>
      <c r="N25" s="108"/>
      <c r="O25" s="233"/>
    </row>
    <row r="26" spans="1:15" s="110" customFormat="1" ht="21" customHeight="1" x14ac:dyDescent="0.25">
      <c r="A26" s="248">
        <v>23</v>
      </c>
      <c r="B26" s="402"/>
      <c r="C26" s="25">
        <v>8888626104980</v>
      </c>
      <c r="D26" s="321">
        <v>107917</v>
      </c>
      <c r="E26" s="99" t="s">
        <v>299</v>
      </c>
      <c r="F26" s="248">
        <v>4</v>
      </c>
      <c r="G26" s="27">
        <v>8.9</v>
      </c>
      <c r="H26" s="27">
        <v>8.9</v>
      </c>
      <c r="I26" s="28">
        <v>96</v>
      </c>
      <c r="J26" s="33">
        <f t="shared" si="0"/>
        <v>854.40000000000009</v>
      </c>
      <c r="K26" s="366"/>
      <c r="L26" s="108"/>
      <c r="M26" s="222"/>
      <c r="N26" s="108"/>
      <c r="O26" s="233"/>
    </row>
    <row r="27" spans="1:15" ht="21" customHeight="1" x14ac:dyDescent="0.25">
      <c r="A27" s="248">
        <v>24</v>
      </c>
      <c r="B27" s="402"/>
      <c r="C27" s="25">
        <v>8888626095042</v>
      </c>
      <c r="D27" s="321">
        <v>107737</v>
      </c>
      <c r="E27" s="99" t="s">
        <v>156</v>
      </c>
      <c r="F27" s="248">
        <v>6</v>
      </c>
      <c r="G27" s="27">
        <v>8.5</v>
      </c>
      <c r="H27" s="27">
        <v>8.5</v>
      </c>
      <c r="I27" s="28">
        <v>24</v>
      </c>
      <c r="J27" s="33">
        <f t="shared" si="0"/>
        <v>204</v>
      </c>
      <c r="K27" s="366"/>
      <c r="M27" s="222"/>
      <c r="O27" s="233"/>
    </row>
    <row r="28" spans="1:15" ht="21" customHeight="1" x14ac:dyDescent="0.25">
      <c r="A28" s="248">
        <v>25</v>
      </c>
      <c r="B28" s="402"/>
      <c r="C28" s="25">
        <v>8888626095059</v>
      </c>
      <c r="D28" s="269">
        <v>107738</v>
      </c>
      <c r="E28" s="99" t="s">
        <v>101</v>
      </c>
      <c r="F28" s="248">
        <v>4</v>
      </c>
      <c r="G28" s="27">
        <v>19.95</v>
      </c>
      <c r="H28" s="27">
        <v>19.95</v>
      </c>
      <c r="I28" s="28">
        <v>32</v>
      </c>
      <c r="J28" s="33">
        <f t="shared" si="0"/>
        <v>638.4</v>
      </c>
      <c r="K28" s="366"/>
      <c r="M28" s="222"/>
      <c r="O28" s="233"/>
    </row>
    <row r="29" spans="1:15" ht="21" customHeight="1" x14ac:dyDescent="0.25">
      <c r="A29" s="248">
        <v>26</v>
      </c>
      <c r="B29" s="402"/>
      <c r="C29" s="25">
        <v>8888626044224</v>
      </c>
      <c r="D29" s="269">
        <v>106166</v>
      </c>
      <c r="E29" s="99" t="s">
        <v>262</v>
      </c>
      <c r="F29" s="248">
        <v>6</v>
      </c>
      <c r="G29" s="27">
        <v>4.95</v>
      </c>
      <c r="H29" s="27">
        <v>4.95</v>
      </c>
      <c r="I29" s="28">
        <v>42</v>
      </c>
      <c r="J29" s="33">
        <f t="shared" si="0"/>
        <v>207.9</v>
      </c>
      <c r="K29" s="366"/>
      <c r="M29" s="222"/>
      <c r="O29" s="233"/>
    </row>
    <row r="30" spans="1:15" ht="21" customHeight="1" x14ac:dyDescent="0.25">
      <c r="A30" s="248">
        <v>27</v>
      </c>
      <c r="B30" s="402"/>
      <c r="C30" s="117">
        <v>8888626017372</v>
      </c>
      <c r="D30" s="249">
        <v>105732</v>
      </c>
      <c r="E30" s="99" t="s">
        <v>218</v>
      </c>
      <c r="F30" s="248">
        <v>4</v>
      </c>
      <c r="G30" s="27">
        <v>10.95</v>
      </c>
      <c r="H30" s="27">
        <v>10.95</v>
      </c>
      <c r="I30" s="28">
        <v>144</v>
      </c>
      <c r="J30" s="33">
        <f t="shared" si="0"/>
        <v>1576.8</v>
      </c>
      <c r="K30" s="366"/>
      <c r="M30" s="222"/>
      <c r="O30" s="233"/>
    </row>
    <row r="31" spans="1:15" ht="21" customHeight="1" x14ac:dyDescent="0.25">
      <c r="A31" s="248">
        <v>28</v>
      </c>
      <c r="B31" s="402"/>
      <c r="C31" s="117">
        <v>8888626105000</v>
      </c>
      <c r="D31" s="135">
        <v>107919</v>
      </c>
      <c r="E31" s="99" t="s">
        <v>51</v>
      </c>
      <c r="F31" s="111">
        <v>6</v>
      </c>
      <c r="G31" s="27">
        <v>10.95</v>
      </c>
      <c r="H31" s="27">
        <v>10.95</v>
      </c>
      <c r="I31" s="28">
        <v>24</v>
      </c>
      <c r="J31" s="33">
        <f t="shared" si="0"/>
        <v>262.79999999999995</v>
      </c>
      <c r="K31" s="366"/>
      <c r="M31" s="222"/>
      <c r="O31" s="233"/>
    </row>
    <row r="32" spans="1:15" ht="21" customHeight="1" x14ac:dyDescent="0.25">
      <c r="A32" s="248">
        <v>29</v>
      </c>
      <c r="B32" s="403"/>
      <c r="C32" s="117">
        <v>8888626080628</v>
      </c>
      <c r="D32" s="135">
        <v>107371</v>
      </c>
      <c r="E32" s="99" t="s">
        <v>141</v>
      </c>
      <c r="F32" s="111">
        <v>4</v>
      </c>
      <c r="G32" s="27">
        <v>9.65</v>
      </c>
      <c r="H32" s="27">
        <v>9.65</v>
      </c>
      <c r="I32" s="28">
        <v>160</v>
      </c>
      <c r="J32" s="33">
        <f t="shared" si="0"/>
        <v>1544</v>
      </c>
      <c r="K32" s="366"/>
      <c r="M32" s="222"/>
      <c r="O32" s="233"/>
    </row>
    <row r="33" spans="1:10" ht="21" customHeight="1" x14ac:dyDescent="0.25">
      <c r="A33" s="398" t="s">
        <v>16</v>
      </c>
      <c r="B33" s="399"/>
      <c r="C33" s="399"/>
      <c r="D33" s="399"/>
      <c r="E33" s="399"/>
      <c r="F33" s="399"/>
      <c r="G33" s="399"/>
      <c r="H33" s="399"/>
      <c r="I33" s="400"/>
      <c r="J33" s="67">
        <f>SUM(J4:J32)</f>
        <v>18289.54</v>
      </c>
    </row>
    <row r="34" spans="1:10" ht="21" customHeight="1" x14ac:dyDescent="0.25">
      <c r="A34" s="11"/>
      <c r="B34" s="12"/>
      <c r="C34" s="12"/>
      <c r="D34" s="12"/>
      <c r="E34" s="10"/>
      <c r="F34" s="11"/>
      <c r="G34" s="10"/>
      <c r="H34" s="11"/>
      <c r="I34" s="5"/>
      <c r="J34" s="10"/>
    </row>
    <row r="35" spans="1:10" ht="21" customHeight="1" x14ac:dyDescent="0.25">
      <c r="A35" s="11"/>
      <c r="B35" s="12"/>
      <c r="C35" s="12"/>
      <c r="D35" s="12"/>
      <c r="E35" s="10"/>
      <c r="F35" s="11"/>
      <c r="G35" s="10"/>
      <c r="H35" s="11"/>
      <c r="I35" s="5"/>
      <c r="J35" s="10"/>
    </row>
    <row r="36" spans="1:10" ht="21" customHeight="1" x14ac:dyDescent="0.25">
      <c r="A36" s="11"/>
      <c r="B36" s="12"/>
      <c r="C36" s="12"/>
      <c r="D36" s="12"/>
      <c r="E36" s="10"/>
      <c r="F36" s="11"/>
      <c r="G36" s="10"/>
      <c r="H36" s="11"/>
      <c r="I36" s="5"/>
      <c r="J36" s="10"/>
    </row>
    <row r="37" spans="1:10" ht="21" customHeight="1" x14ac:dyDescent="0.25">
      <c r="A37" s="11"/>
      <c r="B37" s="12"/>
      <c r="C37" s="12"/>
      <c r="D37" s="12"/>
      <c r="E37" s="10"/>
      <c r="F37" s="11"/>
      <c r="G37" s="10"/>
      <c r="H37" s="11"/>
      <c r="I37" s="5"/>
      <c r="J37" s="10"/>
    </row>
    <row r="38" spans="1:10" ht="21" customHeight="1" x14ac:dyDescent="0.25">
      <c r="A38" s="11"/>
      <c r="B38" s="12"/>
      <c r="C38" s="12"/>
      <c r="D38" s="12"/>
      <c r="E38" s="10"/>
      <c r="F38" s="11"/>
      <c r="G38" s="10"/>
      <c r="H38" s="11"/>
      <c r="I38" s="5"/>
      <c r="J38" s="10"/>
    </row>
    <row r="39" spans="1:10" ht="21" customHeight="1" x14ac:dyDescent="0.25">
      <c r="A39" s="11"/>
      <c r="B39" s="12"/>
      <c r="C39" s="12"/>
      <c r="D39" s="12"/>
      <c r="E39" s="10"/>
      <c r="F39" s="11"/>
      <c r="G39" s="10"/>
      <c r="H39" s="11"/>
      <c r="I39" s="5"/>
      <c r="J39" s="10"/>
    </row>
    <row r="40" spans="1:10" ht="21" customHeight="1" x14ac:dyDescent="0.25">
      <c r="A40" s="11"/>
      <c r="B40" s="12"/>
      <c r="C40" s="12"/>
      <c r="D40" s="12"/>
      <c r="E40" s="10"/>
      <c r="F40" s="11"/>
      <c r="G40" s="10"/>
      <c r="H40" s="11"/>
      <c r="I40" s="5"/>
      <c r="J40" s="10"/>
    </row>
    <row r="41" spans="1:10" ht="21" customHeight="1" x14ac:dyDescent="0.25">
      <c r="A41" s="11"/>
      <c r="B41" s="12"/>
      <c r="C41" s="12"/>
      <c r="D41" s="12"/>
      <c r="E41" s="10"/>
      <c r="F41" s="11"/>
      <c r="G41" s="10"/>
      <c r="H41" s="11"/>
      <c r="I41" s="5"/>
      <c r="J41" s="10"/>
    </row>
    <row r="42" spans="1:10" ht="21" customHeight="1" x14ac:dyDescent="0.25">
      <c r="A42" s="11"/>
      <c r="B42" s="12"/>
      <c r="C42" s="12"/>
      <c r="D42" s="12"/>
      <c r="E42" s="10"/>
      <c r="F42" s="11"/>
      <c r="G42" s="10"/>
      <c r="H42" s="11"/>
      <c r="I42" s="5"/>
      <c r="J42" s="10"/>
    </row>
    <row r="43" spans="1:10" ht="21" customHeight="1" x14ac:dyDescent="0.25">
      <c r="A43" s="11"/>
      <c r="B43" s="12"/>
      <c r="C43" s="12"/>
      <c r="D43" s="12"/>
      <c r="E43" s="10"/>
      <c r="F43" s="11"/>
      <c r="G43" s="10"/>
      <c r="H43" s="11"/>
      <c r="I43" s="5"/>
      <c r="J43" s="10"/>
    </row>
    <row r="44" spans="1:10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10"/>
    </row>
    <row r="45" spans="1:10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10"/>
    </row>
    <row r="46" spans="1:10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0"/>
    </row>
    <row r="47" spans="1:10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10"/>
    </row>
    <row r="48" spans="1:10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0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0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0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10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10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10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10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10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10"/>
    </row>
    <row r="106" spans="1:10" ht="21" customHeight="1" x14ac:dyDescent="0.25">
      <c r="A106" s="11"/>
      <c r="B106" s="12"/>
      <c r="C106" s="12"/>
      <c r="D106" s="12"/>
      <c r="E106" s="10"/>
      <c r="F106" s="11"/>
      <c r="G106" s="10"/>
      <c r="H106" s="11"/>
      <c r="I106" s="5"/>
      <c r="J106" s="10"/>
    </row>
    <row r="107" spans="1:10" ht="21" customHeight="1" x14ac:dyDescent="0.25">
      <c r="C107" s="12"/>
      <c r="D107" s="12"/>
      <c r="E107" s="10"/>
      <c r="F107" s="11"/>
      <c r="G107" s="10"/>
      <c r="H107" s="11"/>
      <c r="I107" s="5"/>
      <c r="J107" s="10"/>
    </row>
    <row r="108" spans="1:10" ht="21" customHeight="1" x14ac:dyDescent="0.25">
      <c r="C108" s="12"/>
      <c r="D108" s="12"/>
      <c r="E108" s="10"/>
      <c r="F108" s="11"/>
      <c r="G108" s="10"/>
      <c r="H108" s="11"/>
      <c r="I108" s="5"/>
      <c r="J108" s="10"/>
    </row>
  </sheetData>
  <mergeCells count="5">
    <mergeCell ref="A33:I33"/>
    <mergeCell ref="I1:J1"/>
    <mergeCell ref="B1:H1"/>
    <mergeCell ref="B17:B32"/>
    <mergeCell ref="B4:B16"/>
  </mergeCells>
  <printOptions horizontalCentered="1"/>
  <pageMargins left="0.25" right="0.25" top="0.25" bottom="0.25" header="0" footer="0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867F-EE14-40A1-A304-63CB624AA51A}">
  <sheetPr>
    <pageSetUpPr fitToPage="1"/>
  </sheetPr>
  <dimension ref="A1:O118"/>
  <sheetViews>
    <sheetView topLeftCell="A22" zoomScale="85" zoomScaleNormal="85" workbookViewId="0">
      <selection activeCell="E24" sqref="E24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61.28515625" style="1" bestFit="1" customWidth="1"/>
    <col min="6" max="6" width="10.28515625" style="40" customWidth="1"/>
    <col min="7" max="8" width="12.7109375" style="1" customWidth="1"/>
    <col min="9" max="9" width="12.7109375" style="18" customWidth="1"/>
    <col min="10" max="10" width="12.7109375" style="1" customWidth="1"/>
    <col min="11" max="11" width="13.5703125" style="108" customWidth="1"/>
    <col min="12" max="12" width="12.28515625" style="108" customWidth="1"/>
    <col min="13" max="13" width="11.85546875" style="108" customWidth="1"/>
    <col min="14" max="14" width="14.42578125" style="108"/>
    <col min="15" max="16384" width="14.42578125" style="1"/>
  </cols>
  <sheetData>
    <row r="1" spans="1:15" ht="21" customHeight="1" x14ac:dyDescent="0.25">
      <c r="A1" s="1" t="s">
        <v>0</v>
      </c>
      <c r="B1" s="379" t="s">
        <v>11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2"/>
      <c r="E2" s="3"/>
      <c r="F2" s="3"/>
      <c r="G2" s="17"/>
      <c r="H2" s="4"/>
      <c r="I2" s="166"/>
      <c r="J2" s="4"/>
    </row>
    <row r="3" spans="1:15" ht="42" customHeight="1" x14ac:dyDescent="0.25">
      <c r="A3" s="6" t="s">
        <v>30</v>
      </c>
      <c r="B3" s="53" t="s">
        <v>17</v>
      </c>
      <c r="C3" s="53" t="s">
        <v>18</v>
      </c>
      <c r="D3" s="53" t="s">
        <v>19</v>
      </c>
      <c r="E3" s="217" t="s">
        <v>20</v>
      </c>
      <c r="F3" s="200" t="s">
        <v>55</v>
      </c>
      <c r="G3" s="200" t="s">
        <v>21</v>
      </c>
      <c r="H3" s="53" t="s">
        <v>22</v>
      </c>
      <c r="I3" s="167" t="s">
        <v>23</v>
      </c>
      <c r="J3" s="53" t="s">
        <v>24</v>
      </c>
      <c r="K3" s="303"/>
      <c r="L3" s="303"/>
      <c r="M3" s="339"/>
      <c r="N3" s="303"/>
    </row>
    <row r="4" spans="1:15" s="247" customFormat="1" ht="27.6" customHeight="1" x14ac:dyDescent="0.25">
      <c r="A4" s="77">
        <v>1</v>
      </c>
      <c r="B4" s="396" t="s">
        <v>220</v>
      </c>
      <c r="C4" s="117">
        <v>8888626173474</v>
      </c>
      <c r="D4" s="275">
        <v>702792</v>
      </c>
      <c r="E4" s="156" t="s">
        <v>240</v>
      </c>
      <c r="F4" s="250">
        <v>24</v>
      </c>
      <c r="G4" s="27">
        <v>2.5</v>
      </c>
      <c r="H4" s="27">
        <v>2.5</v>
      </c>
      <c r="I4" s="25">
        <v>72</v>
      </c>
      <c r="J4" s="252">
        <f t="shared" ref="J4:J9" si="0">I4*H4</f>
        <v>180</v>
      </c>
      <c r="K4" s="366"/>
      <c r="L4" s="108"/>
      <c r="M4" s="108"/>
      <c r="N4" s="108"/>
      <c r="O4" s="233"/>
    </row>
    <row r="5" spans="1:15" s="247" customFormat="1" ht="27.6" customHeight="1" x14ac:dyDescent="0.25">
      <c r="A5" s="77">
        <v>2</v>
      </c>
      <c r="B5" s="410"/>
      <c r="C5" s="25">
        <v>8888626173481</v>
      </c>
      <c r="D5" s="249">
        <v>702793</v>
      </c>
      <c r="E5" s="99" t="s">
        <v>241</v>
      </c>
      <c r="F5" s="248">
        <v>24</v>
      </c>
      <c r="G5" s="27">
        <v>2.5</v>
      </c>
      <c r="H5" s="27">
        <v>2.5</v>
      </c>
      <c r="I5" s="25">
        <v>72</v>
      </c>
      <c r="J5" s="252">
        <f t="shared" si="0"/>
        <v>180</v>
      </c>
      <c r="K5" s="366"/>
      <c r="L5" s="108"/>
      <c r="M5" s="108"/>
      <c r="N5" s="108"/>
      <c r="O5" s="233"/>
    </row>
    <row r="6" spans="1:15" s="247" customFormat="1" ht="27.6" customHeight="1" x14ac:dyDescent="0.25">
      <c r="A6" s="77">
        <v>3</v>
      </c>
      <c r="B6" s="397"/>
      <c r="C6" s="25">
        <v>8888626056012</v>
      </c>
      <c r="D6" s="249">
        <v>701742</v>
      </c>
      <c r="E6" s="99" t="s">
        <v>219</v>
      </c>
      <c r="F6" s="248">
        <v>24</v>
      </c>
      <c r="G6" s="27">
        <v>2.5</v>
      </c>
      <c r="H6" s="27">
        <v>2.5</v>
      </c>
      <c r="I6" s="25">
        <v>48</v>
      </c>
      <c r="J6" s="252">
        <f t="shared" si="0"/>
        <v>120</v>
      </c>
      <c r="K6" s="366"/>
      <c r="L6" s="108"/>
      <c r="M6" s="108"/>
      <c r="N6" s="108"/>
      <c r="O6" s="233"/>
    </row>
    <row r="7" spans="1:15" s="116" customFormat="1" ht="21" customHeight="1" x14ac:dyDescent="0.25">
      <c r="A7" s="77">
        <v>4</v>
      </c>
      <c r="B7" s="290" t="s">
        <v>264</v>
      </c>
      <c r="C7" s="25">
        <v>8888626174426</v>
      </c>
      <c r="D7" s="293">
        <v>702842</v>
      </c>
      <c r="E7" s="99" t="s">
        <v>350</v>
      </c>
      <c r="F7" s="248">
        <v>24</v>
      </c>
      <c r="G7" s="27">
        <v>2.9</v>
      </c>
      <c r="H7" s="27">
        <v>2.9</v>
      </c>
      <c r="I7" s="25">
        <v>48</v>
      </c>
      <c r="J7" s="252">
        <f t="shared" si="0"/>
        <v>139.19999999999999</v>
      </c>
      <c r="K7" s="366"/>
      <c r="L7" s="108"/>
      <c r="M7" s="108"/>
      <c r="N7" s="108"/>
      <c r="O7" s="233"/>
    </row>
    <row r="8" spans="1:15" s="116" customFormat="1" ht="21" customHeight="1" x14ac:dyDescent="0.25">
      <c r="A8" s="77">
        <v>5</v>
      </c>
      <c r="B8" s="404" t="s">
        <v>396</v>
      </c>
      <c r="C8" s="117">
        <v>8888626155326</v>
      </c>
      <c r="D8" s="250">
        <v>702679</v>
      </c>
      <c r="E8" s="156" t="s">
        <v>149</v>
      </c>
      <c r="F8" s="250">
        <v>48</v>
      </c>
      <c r="G8" s="27">
        <v>0.65</v>
      </c>
      <c r="H8" s="27">
        <v>0.65</v>
      </c>
      <c r="I8" s="168">
        <v>96</v>
      </c>
      <c r="J8" s="252">
        <f t="shared" si="0"/>
        <v>62.400000000000006</v>
      </c>
      <c r="K8" s="366"/>
      <c r="L8" s="108"/>
      <c r="M8" s="108"/>
      <c r="N8" s="108"/>
      <c r="O8" s="233"/>
    </row>
    <row r="9" spans="1:15" s="116" customFormat="1" ht="21" customHeight="1" x14ac:dyDescent="0.25">
      <c r="A9" s="77">
        <v>6</v>
      </c>
      <c r="B9" s="405"/>
      <c r="C9" s="117">
        <v>8888626155333</v>
      </c>
      <c r="D9" s="250">
        <v>702680</v>
      </c>
      <c r="E9" s="156" t="s">
        <v>153</v>
      </c>
      <c r="F9" s="250">
        <v>24</v>
      </c>
      <c r="G9" s="27">
        <v>0.85</v>
      </c>
      <c r="H9" s="27">
        <v>0.85</v>
      </c>
      <c r="I9" s="168">
        <v>72</v>
      </c>
      <c r="J9" s="252">
        <f t="shared" si="0"/>
        <v>61.199999999999996</v>
      </c>
      <c r="K9" s="366"/>
      <c r="L9" s="108"/>
      <c r="M9" s="108"/>
      <c r="N9" s="108"/>
      <c r="O9" s="233"/>
    </row>
    <row r="10" spans="1:15" s="155" customFormat="1" ht="30" customHeight="1" x14ac:dyDescent="0.25">
      <c r="A10" s="77">
        <v>7</v>
      </c>
      <c r="B10" s="405"/>
      <c r="C10" s="25" t="s">
        <v>40</v>
      </c>
      <c r="D10" s="249">
        <v>701544</v>
      </c>
      <c r="E10" s="99" t="s">
        <v>103</v>
      </c>
      <c r="F10" s="248">
        <v>24</v>
      </c>
      <c r="G10" s="27">
        <v>2.8</v>
      </c>
      <c r="H10" s="27">
        <v>2.8</v>
      </c>
      <c r="I10" s="168">
        <v>120</v>
      </c>
      <c r="J10" s="252">
        <f t="shared" ref="J10:J35" si="1">I10*H10</f>
        <v>336</v>
      </c>
      <c r="K10" s="366"/>
      <c r="L10" s="108"/>
      <c r="M10" s="108"/>
      <c r="N10" s="108"/>
      <c r="O10" s="233"/>
    </row>
    <row r="11" spans="1:15" s="348" customFormat="1" ht="30" customHeight="1" x14ac:dyDescent="0.25">
      <c r="A11" s="77">
        <v>8</v>
      </c>
      <c r="B11" s="405"/>
      <c r="C11" s="25">
        <v>8888626062129</v>
      </c>
      <c r="D11" s="349">
        <v>701799</v>
      </c>
      <c r="E11" s="99" t="s">
        <v>395</v>
      </c>
      <c r="F11" s="248">
        <v>24</v>
      </c>
      <c r="G11" s="27">
        <v>1.5</v>
      </c>
      <c r="H11" s="27">
        <v>1.5</v>
      </c>
      <c r="I11" s="168">
        <v>48</v>
      </c>
      <c r="J11" s="252">
        <f t="shared" si="1"/>
        <v>72</v>
      </c>
      <c r="K11" s="366"/>
      <c r="L11" s="108"/>
      <c r="M11" s="108"/>
      <c r="N11" s="108"/>
      <c r="O11" s="233"/>
    </row>
    <row r="12" spans="1:15" s="79" customFormat="1" ht="32.450000000000003" customHeight="1" x14ac:dyDescent="0.25">
      <c r="A12" s="77">
        <v>9</v>
      </c>
      <c r="B12" s="405"/>
      <c r="C12" s="25" t="s">
        <v>252</v>
      </c>
      <c r="D12" s="249">
        <v>700196</v>
      </c>
      <c r="E12" s="99" t="s">
        <v>253</v>
      </c>
      <c r="F12" s="248">
        <v>24</v>
      </c>
      <c r="G12" s="27">
        <v>2.1</v>
      </c>
      <c r="H12" s="27">
        <v>2.1</v>
      </c>
      <c r="I12" s="168">
        <v>120</v>
      </c>
      <c r="J12" s="252">
        <f t="shared" si="1"/>
        <v>252</v>
      </c>
      <c r="K12" s="366"/>
      <c r="L12" s="108"/>
      <c r="M12" s="108"/>
      <c r="N12" s="108"/>
      <c r="O12" s="233"/>
    </row>
    <row r="13" spans="1:15" ht="33" customHeight="1" x14ac:dyDescent="0.25">
      <c r="A13" s="77">
        <v>10</v>
      </c>
      <c r="B13" s="405"/>
      <c r="C13" s="249" t="s">
        <v>41</v>
      </c>
      <c r="D13" s="249">
        <v>701545</v>
      </c>
      <c r="E13" s="99" t="s">
        <v>104</v>
      </c>
      <c r="F13" s="248">
        <v>24</v>
      </c>
      <c r="G13" s="27">
        <v>1.7</v>
      </c>
      <c r="H13" s="27">
        <v>1.7</v>
      </c>
      <c r="I13" s="168">
        <v>72</v>
      </c>
      <c r="J13" s="252">
        <f t="shared" si="1"/>
        <v>122.39999999999999</v>
      </c>
      <c r="K13" s="366"/>
      <c r="O13" s="233"/>
    </row>
    <row r="14" spans="1:15" s="51" customFormat="1" ht="27.6" customHeight="1" x14ac:dyDescent="0.25">
      <c r="A14" s="77">
        <v>11</v>
      </c>
      <c r="B14" s="406"/>
      <c r="C14" s="254" t="s">
        <v>42</v>
      </c>
      <c r="D14" s="254">
        <v>701598</v>
      </c>
      <c r="E14" s="48" t="s">
        <v>105</v>
      </c>
      <c r="F14" s="255">
        <v>24</v>
      </c>
      <c r="G14" s="36">
        <v>1.25</v>
      </c>
      <c r="H14" s="36">
        <v>1.25</v>
      </c>
      <c r="I14" s="256">
        <v>192</v>
      </c>
      <c r="J14" s="252">
        <f t="shared" si="1"/>
        <v>240</v>
      </c>
      <c r="K14" s="366"/>
      <c r="L14" s="108"/>
      <c r="M14" s="108"/>
      <c r="N14" s="108"/>
      <c r="O14" s="233"/>
    </row>
    <row r="15" spans="1:15" s="241" customFormat="1" ht="27.6" customHeight="1" x14ac:dyDescent="0.25">
      <c r="A15" s="77">
        <v>12</v>
      </c>
      <c r="B15" s="404" t="s">
        <v>227</v>
      </c>
      <c r="C15" s="257" t="s">
        <v>225</v>
      </c>
      <c r="D15" s="254">
        <v>702759</v>
      </c>
      <c r="E15" s="48" t="s">
        <v>223</v>
      </c>
      <c r="F15" s="255">
        <v>24</v>
      </c>
      <c r="G15" s="36">
        <v>2.4900000000000002</v>
      </c>
      <c r="H15" s="36">
        <v>2.4900000000000002</v>
      </c>
      <c r="I15" s="256">
        <v>24</v>
      </c>
      <c r="J15" s="252">
        <f t="shared" si="1"/>
        <v>59.760000000000005</v>
      </c>
      <c r="K15" s="366"/>
      <c r="L15" s="108"/>
      <c r="M15" s="108"/>
      <c r="N15" s="108"/>
      <c r="O15" s="233"/>
    </row>
    <row r="16" spans="1:15" ht="21" customHeight="1" x14ac:dyDescent="0.25">
      <c r="A16" s="77">
        <v>13</v>
      </c>
      <c r="B16" s="405"/>
      <c r="C16" s="257" t="s">
        <v>300</v>
      </c>
      <c r="D16" s="320">
        <v>702760</v>
      </c>
      <c r="E16" s="48" t="s">
        <v>301</v>
      </c>
      <c r="F16" s="319">
        <v>24</v>
      </c>
      <c r="G16" s="36">
        <v>2.69</v>
      </c>
      <c r="H16" s="36">
        <v>2.69</v>
      </c>
      <c r="I16" s="256">
        <v>48</v>
      </c>
      <c r="J16" s="252">
        <f t="shared" si="1"/>
        <v>129.12</v>
      </c>
      <c r="K16" s="366"/>
      <c r="O16" s="233"/>
    </row>
    <row r="17" spans="1:15" s="85" customFormat="1" ht="21" customHeight="1" x14ac:dyDescent="0.25">
      <c r="A17" s="77">
        <v>14</v>
      </c>
      <c r="B17" s="406"/>
      <c r="C17" s="257" t="s">
        <v>226</v>
      </c>
      <c r="D17" s="254">
        <v>702758</v>
      </c>
      <c r="E17" s="48" t="s">
        <v>224</v>
      </c>
      <c r="F17" s="255">
        <v>24</v>
      </c>
      <c r="G17" s="36">
        <v>2.4900000000000002</v>
      </c>
      <c r="H17" s="36">
        <v>2.4900000000000002</v>
      </c>
      <c r="I17" s="256">
        <v>96</v>
      </c>
      <c r="J17" s="252">
        <f t="shared" si="1"/>
        <v>239.04000000000002</v>
      </c>
      <c r="K17" s="366"/>
      <c r="L17" s="108"/>
      <c r="M17" s="108"/>
      <c r="N17" s="108"/>
      <c r="O17" s="233"/>
    </row>
    <row r="18" spans="1:15" s="91" customFormat="1" ht="21" customHeight="1" x14ac:dyDescent="0.25">
      <c r="A18" s="77">
        <v>15</v>
      </c>
      <c r="B18" s="411" t="s">
        <v>27</v>
      </c>
      <c r="C18" s="25">
        <v>8888626005911</v>
      </c>
      <c r="D18" s="37">
        <v>701501</v>
      </c>
      <c r="E18" s="86" t="s">
        <v>92</v>
      </c>
      <c r="F18" s="30">
        <v>12</v>
      </c>
      <c r="G18" s="27">
        <v>1.99</v>
      </c>
      <c r="H18" s="27">
        <v>1.99</v>
      </c>
      <c r="I18" s="168">
        <v>84</v>
      </c>
      <c r="J18" s="252">
        <f t="shared" si="1"/>
        <v>167.16</v>
      </c>
      <c r="K18" s="366"/>
      <c r="L18" s="108"/>
      <c r="M18" s="108"/>
      <c r="N18" s="108"/>
      <c r="O18" s="233"/>
    </row>
    <row r="19" spans="1:15" s="91" customFormat="1" ht="21" customHeight="1" x14ac:dyDescent="0.25">
      <c r="A19" s="77">
        <v>16</v>
      </c>
      <c r="B19" s="412"/>
      <c r="C19" s="25">
        <v>8888626005935</v>
      </c>
      <c r="D19" s="293">
        <v>701503</v>
      </c>
      <c r="E19" s="99" t="s">
        <v>263</v>
      </c>
      <c r="F19" s="248">
        <v>12</v>
      </c>
      <c r="G19" s="27">
        <v>1.85</v>
      </c>
      <c r="H19" s="27">
        <v>1.85</v>
      </c>
      <c r="I19" s="168">
        <v>48</v>
      </c>
      <c r="J19" s="252">
        <f t="shared" si="1"/>
        <v>88.800000000000011</v>
      </c>
      <c r="K19" s="366"/>
      <c r="L19" s="108"/>
      <c r="M19" s="108"/>
      <c r="N19" s="108"/>
      <c r="O19" s="233"/>
    </row>
    <row r="20" spans="1:15" s="91" customFormat="1" ht="21" customHeight="1" x14ac:dyDescent="0.25">
      <c r="A20" s="77">
        <v>17</v>
      </c>
      <c r="B20" s="413"/>
      <c r="C20" s="244" t="s">
        <v>210</v>
      </c>
      <c r="D20" s="244">
        <v>701500</v>
      </c>
      <c r="E20" s="243" t="s">
        <v>211</v>
      </c>
      <c r="F20" s="237">
        <v>12</v>
      </c>
      <c r="G20" s="27">
        <v>2</v>
      </c>
      <c r="H20" s="27">
        <v>2</v>
      </c>
      <c r="I20" s="168">
        <v>84</v>
      </c>
      <c r="J20" s="151">
        <f t="shared" si="1"/>
        <v>168</v>
      </c>
      <c r="K20" s="366"/>
      <c r="L20" s="108"/>
      <c r="M20" s="108"/>
      <c r="N20" s="108"/>
      <c r="O20" s="233"/>
    </row>
    <row r="21" spans="1:15" s="87" customFormat="1" ht="21" customHeight="1" x14ac:dyDescent="0.25">
      <c r="A21" s="77">
        <v>18</v>
      </c>
      <c r="B21" s="389" t="s">
        <v>396</v>
      </c>
      <c r="C21" s="90">
        <v>8888626138589</v>
      </c>
      <c r="D21" s="213">
        <v>108523</v>
      </c>
      <c r="E21" s="99" t="s">
        <v>269</v>
      </c>
      <c r="F21" s="43">
        <v>24</v>
      </c>
      <c r="G21" s="27">
        <v>2.4</v>
      </c>
      <c r="H21" s="27">
        <v>2.4</v>
      </c>
      <c r="I21" s="168">
        <v>24</v>
      </c>
      <c r="J21" s="15">
        <f t="shared" si="1"/>
        <v>57.599999999999994</v>
      </c>
      <c r="K21" s="366"/>
      <c r="L21" s="108"/>
      <c r="M21" s="108"/>
      <c r="N21" s="108"/>
      <c r="O21" s="233"/>
    </row>
    <row r="22" spans="1:15" s="87" customFormat="1" ht="21" customHeight="1" x14ac:dyDescent="0.25">
      <c r="A22" s="77">
        <v>19</v>
      </c>
      <c r="B22" s="390"/>
      <c r="C22" s="196">
        <v>8888626138503</v>
      </c>
      <c r="D22" s="235">
        <v>108492</v>
      </c>
      <c r="E22" s="238" t="s">
        <v>206</v>
      </c>
      <c r="F22" s="193">
        <v>24</v>
      </c>
      <c r="G22" s="27">
        <v>2.75</v>
      </c>
      <c r="H22" s="27">
        <v>2.75</v>
      </c>
      <c r="I22" s="168">
        <v>48</v>
      </c>
      <c r="J22" s="252">
        <f t="shared" si="1"/>
        <v>132</v>
      </c>
      <c r="K22" s="366"/>
      <c r="L22" s="108"/>
      <c r="M22" s="108"/>
      <c r="N22" s="108"/>
      <c r="O22" s="233"/>
    </row>
    <row r="23" spans="1:15" s="87" customFormat="1" ht="21" customHeight="1" x14ac:dyDescent="0.25">
      <c r="A23" s="77">
        <v>20</v>
      </c>
      <c r="B23" s="390"/>
      <c r="C23" s="90">
        <v>8888626176185</v>
      </c>
      <c r="D23" s="190">
        <v>109655</v>
      </c>
      <c r="E23" s="99" t="s">
        <v>351</v>
      </c>
      <c r="F23" s="43">
        <v>12</v>
      </c>
      <c r="G23" s="27">
        <v>1.95</v>
      </c>
      <c r="H23" s="27">
        <v>1.95</v>
      </c>
      <c r="I23" s="168">
        <v>48</v>
      </c>
      <c r="J23" s="151">
        <f t="shared" si="1"/>
        <v>93.6</v>
      </c>
      <c r="K23" s="366"/>
      <c r="L23" s="108"/>
      <c r="M23" s="108"/>
      <c r="N23" s="108"/>
      <c r="O23" s="233"/>
    </row>
    <row r="24" spans="1:15" s="87" customFormat="1" ht="21" customHeight="1" x14ac:dyDescent="0.25">
      <c r="A24" s="77">
        <v>21</v>
      </c>
      <c r="B24" s="390"/>
      <c r="C24" s="90">
        <v>8888626176192</v>
      </c>
      <c r="D24" s="190">
        <v>109656</v>
      </c>
      <c r="E24" s="99" t="s">
        <v>352</v>
      </c>
      <c r="F24" s="43">
        <v>12</v>
      </c>
      <c r="G24" s="27">
        <v>1.95</v>
      </c>
      <c r="H24" s="27">
        <v>1.95</v>
      </c>
      <c r="I24" s="168">
        <v>24</v>
      </c>
      <c r="J24" s="15">
        <f t="shared" si="1"/>
        <v>46.8</v>
      </c>
      <c r="K24" s="366"/>
      <c r="L24" s="108"/>
      <c r="M24" s="108"/>
      <c r="N24" s="108"/>
      <c r="O24" s="233"/>
    </row>
    <row r="25" spans="1:15" s="87" customFormat="1" ht="21" customHeight="1" x14ac:dyDescent="0.25">
      <c r="A25" s="77">
        <v>22</v>
      </c>
      <c r="B25" s="390"/>
      <c r="C25" s="90">
        <v>8888626166636</v>
      </c>
      <c r="D25" s="206">
        <v>109265</v>
      </c>
      <c r="E25" s="99" t="s">
        <v>214</v>
      </c>
      <c r="F25" s="208">
        <v>15</v>
      </c>
      <c r="G25" s="27">
        <v>2.9</v>
      </c>
      <c r="H25" s="27">
        <v>2.9</v>
      </c>
      <c r="I25" s="168">
        <v>45</v>
      </c>
      <c r="J25" s="252">
        <f t="shared" si="1"/>
        <v>130.5</v>
      </c>
      <c r="K25" s="366"/>
      <c r="L25" s="108"/>
      <c r="M25" s="108"/>
      <c r="N25" s="108"/>
      <c r="O25" s="233"/>
    </row>
    <row r="26" spans="1:15" s="87" customFormat="1" ht="21" customHeight="1" x14ac:dyDescent="0.25">
      <c r="A26" s="77">
        <v>23</v>
      </c>
      <c r="B26" s="390"/>
      <c r="C26" s="90">
        <v>8888626105406</v>
      </c>
      <c r="D26" s="190">
        <v>108009</v>
      </c>
      <c r="E26" s="99" t="s">
        <v>57</v>
      </c>
      <c r="F26" s="43">
        <v>24</v>
      </c>
      <c r="G26" s="27">
        <v>1.35</v>
      </c>
      <c r="H26" s="27">
        <v>1.35</v>
      </c>
      <c r="I26" s="168">
        <v>48</v>
      </c>
      <c r="J26" s="151">
        <f t="shared" si="1"/>
        <v>64.800000000000011</v>
      </c>
      <c r="K26" s="366"/>
      <c r="L26" s="108"/>
      <c r="M26" s="108"/>
      <c r="N26" s="108"/>
      <c r="O26" s="233"/>
    </row>
    <row r="27" spans="1:15" s="87" customFormat="1" ht="21" customHeight="1" x14ac:dyDescent="0.25">
      <c r="A27" s="77">
        <v>24</v>
      </c>
      <c r="B27" s="390"/>
      <c r="C27" s="90">
        <v>8888626105413</v>
      </c>
      <c r="D27" s="190">
        <v>108010</v>
      </c>
      <c r="E27" s="99" t="s">
        <v>35</v>
      </c>
      <c r="F27" s="43">
        <v>4</v>
      </c>
      <c r="G27" s="27">
        <v>3.99</v>
      </c>
      <c r="H27" s="27">
        <v>3.99</v>
      </c>
      <c r="I27" s="168">
        <v>16</v>
      </c>
      <c r="J27" s="15">
        <f t="shared" si="1"/>
        <v>63.84</v>
      </c>
      <c r="K27" s="366"/>
      <c r="L27" s="108"/>
      <c r="M27" s="108"/>
      <c r="N27" s="108"/>
      <c r="O27" s="233"/>
    </row>
    <row r="28" spans="1:15" s="65" customFormat="1" ht="21" customHeight="1" x14ac:dyDescent="0.25">
      <c r="A28" s="77">
        <v>25</v>
      </c>
      <c r="B28" s="390"/>
      <c r="C28" s="90" t="s">
        <v>36</v>
      </c>
      <c r="D28" s="190">
        <v>107026</v>
      </c>
      <c r="E28" s="99" t="s">
        <v>106</v>
      </c>
      <c r="F28" s="43">
        <v>24</v>
      </c>
      <c r="G28" s="27">
        <v>2.1</v>
      </c>
      <c r="H28" s="27">
        <v>2.1</v>
      </c>
      <c r="I28" s="168">
        <v>72</v>
      </c>
      <c r="J28" s="252">
        <f t="shared" si="1"/>
        <v>151.20000000000002</v>
      </c>
      <c r="K28" s="366"/>
      <c r="L28" s="138"/>
      <c r="M28" s="138"/>
      <c r="N28" s="108"/>
      <c r="O28" s="233"/>
    </row>
    <row r="29" spans="1:15" s="96" customFormat="1" ht="35.450000000000003" customHeight="1" x14ac:dyDescent="0.25">
      <c r="A29" s="77">
        <v>26</v>
      </c>
      <c r="B29" s="390"/>
      <c r="C29" s="90" t="s">
        <v>37</v>
      </c>
      <c r="D29" s="190">
        <v>107027</v>
      </c>
      <c r="E29" s="99" t="s">
        <v>107</v>
      </c>
      <c r="F29" s="43">
        <v>24</v>
      </c>
      <c r="G29" s="27">
        <v>1.95</v>
      </c>
      <c r="H29" s="27">
        <v>1.95</v>
      </c>
      <c r="I29" s="168">
        <v>96</v>
      </c>
      <c r="J29" s="151">
        <f t="shared" si="1"/>
        <v>187.2</v>
      </c>
      <c r="K29" s="366"/>
      <c r="L29" s="108"/>
      <c r="M29" s="108"/>
      <c r="N29" s="108"/>
      <c r="O29" s="233"/>
    </row>
    <row r="30" spans="1:15" s="87" customFormat="1" ht="22.15" customHeight="1" x14ac:dyDescent="0.25">
      <c r="A30" s="77">
        <v>27</v>
      </c>
      <c r="B30" s="390"/>
      <c r="C30" s="90">
        <v>8888626005676</v>
      </c>
      <c r="D30" s="190">
        <v>105481</v>
      </c>
      <c r="E30" s="99" t="s">
        <v>131</v>
      </c>
      <c r="F30" s="43">
        <v>24</v>
      </c>
      <c r="G30" s="27">
        <v>1.69</v>
      </c>
      <c r="H30" s="27">
        <v>1.69</v>
      </c>
      <c r="I30" s="168">
        <v>144</v>
      </c>
      <c r="J30" s="15">
        <f t="shared" si="1"/>
        <v>243.35999999999999</v>
      </c>
      <c r="K30" s="366"/>
      <c r="L30" s="108"/>
      <c r="M30" s="108"/>
      <c r="N30" s="108"/>
      <c r="O30" s="233"/>
    </row>
    <row r="31" spans="1:15" s="155" customFormat="1" ht="42" customHeight="1" x14ac:dyDescent="0.25">
      <c r="A31" s="77">
        <v>28</v>
      </c>
      <c r="B31" s="390"/>
      <c r="C31" s="90">
        <v>8888626162430</v>
      </c>
      <c r="D31" s="288">
        <v>109249</v>
      </c>
      <c r="E31" s="99" t="s">
        <v>254</v>
      </c>
      <c r="F31" s="43">
        <v>12</v>
      </c>
      <c r="G31" s="27">
        <v>2.2000000000000002</v>
      </c>
      <c r="H31" s="27">
        <v>2.2000000000000002</v>
      </c>
      <c r="I31" s="168">
        <v>48</v>
      </c>
      <c r="J31" s="252">
        <f t="shared" si="1"/>
        <v>105.60000000000001</v>
      </c>
      <c r="K31" s="366"/>
      <c r="L31" s="108"/>
      <c r="M31" s="108"/>
      <c r="N31" s="108"/>
      <c r="O31" s="233"/>
    </row>
    <row r="32" spans="1:15" s="174" customFormat="1" ht="21" customHeight="1" x14ac:dyDescent="0.25">
      <c r="A32" s="77">
        <v>29</v>
      </c>
      <c r="B32" s="390"/>
      <c r="C32" s="90">
        <v>8888626155203</v>
      </c>
      <c r="D32" s="190">
        <v>109062</v>
      </c>
      <c r="E32" s="99" t="s">
        <v>165</v>
      </c>
      <c r="F32" s="43">
        <v>24</v>
      </c>
      <c r="G32" s="27">
        <v>1.5</v>
      </c>
      <c r="H32" s="27">
        <v>1.5</v>
      </c>
      <c r="I32" s="168">
        <v>96</v>
      </c>
      <c r="J32" s="151">
        <f t="shared" si="1"/>
        <v>144</v>
      </c>
      <c r="K32" s="366"/>
      <c r="L32" s="108"/>
      <c r="M32" s="108"/>
      <c r="N32" s="108"/>
      <c r="O32" s="233"/>
    </row>
    <row r="33" spans="1:15" s="87" customFormat="1" ht="30.6" customHeight="1" x14ac:dyDescent="0.25">
      <c r="A33" s="77">
        <v>30</v>
      </c>
      <c r="B33" s="390"/>
      <c r="C33" s="90">
        <v>8888626134079</v>
      </c>
      <c r="D33" s="190">
        <v>108431</v>
      </c>
      <c r="E33" s="99" t="s">
        <v>68</v>
      </c>
      <c r="F33" s="43">
        <v>12</v>
      </c>
      <c r="G33" s="27">
        <v>8.9499999999999993</v>
      </c>
      <c r="H33" s="27">
        <v>8.9499999999999993</v>
      </c>
      <c r="I33" s="168">
        <v>72</v>
      </c>
      <c r="J33" s="15">
        <f t="shared" si="1"/>
        <v>644.4</v>
      </c>
      <c r="K33" s="366"/>
      <c r="L33" s="108"/>
      <c r="M33" s="108"/>
      <c r="N33" s="108"/>
      <c r="O33" s="233"/>
    </row>
    <row r="34" spans="1:15" ht="36" customHeight="1" x14ac:dyDescent="0.25">
      <c r="A34" s="77">
        <v>31</v>
      </c>
      <c r="B34" s="390"/>
      <c r="C34" s="90">
        <v>8888626174655</v>
      </c>
      <c r="D34" s="346">
        <v>109654</v>
      </c>
      <c r="E34" s="99" t="s">
        <v>354</v>
      </c>
      <c r="F34" s="43">
        <v>9</v>
      </c>
      <c r="G34" s="304">
        <v>1.99</v>
      </c>
      <c r="H34" s="304">
        <v>1.99</v>
      </c>
      <c r="I34" s="168">
        <v>27</v>
      </c>
      <c r="J34" s="252">
        <f t="shared" si="1"/>
        <v>53.73</v>
      </c>
      <c r="K34" s="366"/>
      <c r="O34" s="233"/>
    </row>
    <row r="35" spans="1:15" ht="21" customHeight="1" x14ac:dyDescent="0.25">
      <c r="A35" s="77">
        <v>32</v>
      </c>
      <c r="B35" s="391"/>
      <c r="C35" s="196">
        <v>8888626174525</v>
      </c>
      <c r="D35" s="194">
        <v>109653</v>
      </c>
      <c r="E35" s="192" t="s">
        <v>353</v>
      </c>
      <c r="F35" s="193">
        <v>12</v>
      </c>
      <c r="G35" s="27">
        <v>1.95</v>
      </c>
      <c r="H35" s="27">
        <v>1.95</v>
      </c>
      <c r="I35" s="168">
        <v>96</v>
      </c>
      <c r="J35" s="151">
        <f t="shared" si="1"/>
        <v>187.2</v>
      </c>
      <c r="K35" s="366"/>
      <c r="O35" s="233"/>
    </row>
    <row r="36" spans="1:15" ht="21" customHeight="1" x14ac:dyDescent="0.25">
      <c r="A36" s="407" t="s">
        <v>118</v>
      </c>
      <c r="B36" s="408"/>
      <c r="C36" s="408"/>
      <c r="D36" s="408"/>
      <c r="E36" s="408"/>
      <c r="F36" s="408"/>
      <c r="G36" s="408"/>
      <c r="H36" s="408"/>
      <c r="I36" s="409"/>
      <c r="J36" s="152">
        <f>SUM(J4:J35)</f>
        <v>4922.91</v>
      </c>
    </row>
    <row r="37" spans="1:15" ht="21" customHeight="1" x14ac:dyDescent="0.25">
      <c r="A37" s="103"/>
      <c r="B37" s="101"/>
      <c r="C37" s="61"/>
      <c r="D37" s="61"/>
      <c r="E37" s="62"/>
      <c r="F37" s="62"/>
      <c r="G37" s="60"/>
      <c r="H37" s="60"/>
      <c r="I37" s="170"/>
      <c r="J37" s="11"/>
    </row>
    <row r="38" spans="1:15" ht="21" customHeight="1" x14ac:dyDescent="0.25">
      <c r="A38" s="104"/>
      <c r="B38" s="102"/>
      <c r="C38" s="12"/>
      <c r="D38" s="12"/>
      <c r="E38" s="10"/>
      <c r="F38" s="10"/>
      <c r="G38" s="11"/>
      <c r="H38" s="11"/>
      <c r="I38" s="166"/>
      <c r="J38" s="11"/>
    </row>
    <row r="39" spans="1:15" ht="21" customHeight="1" x14ac:dyDescent="0.25">
      <c r="A39" s="11"/>
      <c r="B39" s="12"/>
      <c r="C39" s="12"/>
      <c r="D39" s="12"/>
      <c r="E39" s="10"/>
      <c r="F39" s="10"/>
      <c r="G39" s="11"/>
      <c r="H39" s="11"/>
      <c r="I39" s="166"/>
      <c r="J39" s="11"/>
    </row>
    <row r="40" spans="1:15" ht="21" customHeight="1" x14ac:dyDescent="0.25">
      <c r="A40" s="11"/>
      <c r="B40" s="12"/>
      <c r="C40" s="12"/>
      <c r="D40" s="12"/>
      <c r="E40" s="10"/>
      <c r="F40" s="10"/>
      <c r="G40" s="11"/>
      <c r="H40" s="11"/>
      <c r="I40" s="166"/>
      <c r="J40" s="11"/>
    </row>
    <row r="41" spans="1:15" ht="21" customHeight="1" x14ac:dyDescent="0.25">
      <c r="A41" s="11"/>
      <c r="B41" s="12"/>
      <c r="C41" s="12"/>
      <c r="D41" s="12"/>
      <c r="E41" s="10"/>
      <c r="F41" s="10"/>
      <c r="G41" s="11"/>
      <c r="H41" s="11"/>
      <c r="I41" s="166"/>
      <c r="J41" s="11"/>
    </row>
    <row r="42" spans="1:15" ht="21" customHeight="1" x14ac:dyDescent="0.25">
      <c r="A42" s="11"/>
      <c r="B42" s="12"/>
      <c r="C42" s="12"/>
      <c r="D42" s="12"/>
      <c r="E42" s="10"/>
      <c r="F42" s="10"/>
      <c r="G42" s="11"/>
      <c r="H42" s="11"/>
      <c r="I42" s="166"/>
      <c r="J42" s="11"/>
    </row>
    <row r="43" spans="1:15" ht="21" customHeight="1" x14ac:dyDescent="0.25">
      <c r="A43" s="11"/>
      <c r="B43" s="12"/>
      <c r="C43" s="12"/>
      <c r="D43" s="12"/>
      <c r="E43" s="10"/>
      <c r="F43" s="10"/>
      <c r="G43" s="11"/>
      <c r="H43" s="11"/>
      <c r="I43" s="166"/>
      <c r="J43" s="11"/>
    </row>
    <row r="44" spans="1:15" ht="21" customHeight="1" x14ac:dyDescent="0.25">
      <c r="A44" s="11"/>
      <c r="B44" s="12"/>
      <c r="C44" s="12"/>
      <c r="D44" s="12"/>
      <c r="E44" s="10"/>
      <c r="F44" s="10"/>
      <c r="G44" s="11"/>
      <c r="H44" s="11"/>
      <c r="I44" s="166"/>
      <c r="J44" s="11"/>
    </row>
    <row r="45" spans="1:15" ht="21" customHeight="1" x14ac:dyDescent="0.25">
      <c r="A45" s="11"/>
      <c r="B45" s="12"/>
      <c r="C45" s="12"/>
      <c r="D45" s="12"/>
      <c r="E45" s="10"/>
      <c r="F45" s="10"/>
      <c r="G45" s="11"/>
      <c r="H45" s="11"/>
      <c r="I45" s="166"/>
      <c r="J45" s="11"/>
    </row>
    <row r="46" spans="1:15" ht="21" customHeight="1" x14ac:dyDescent="0.25">
      <c r="A46" s="11"/>
      <c r="B46" s="12"/>
      <c r="C46" s="12"/>
      <c r="D46" s="12"/>
      <c r="E46" s="10"/>
      <c r="F46" s="10"/>
      <c r="G46" s="11"/>
      <c r="H46" s="11"/>
      <c r="I46" s="166"/>
      <c r="J46" s="11"/>
    </row>
    <row r="47" spans="1:15" ht="21" customHeight="1" x14ac:dyDescent="0.25">
      <c r="A47" s="11"/>
      <c r="B47" s="12"/>
      <c r="C47" s="12"/>
      <c r="D47" s="12"/>
      <c r="E47" s="10"/>
      <c r="F47" s="10"/>
      <c r="G47" s="11"/>
      <c r="H47" s="11"/>
      <c r="I47" s="166"/>
      <c r="J47" s="11"/>
    </row>
    <row r="48" spans="1:15" ht="21" customHeight="1" x14ac:dyDescent="0.25">
      <c r="A48" s="11"/>
      <c r="B48" s="12"/>
      <c r="C48" s="12"/>
      <c r="D48" s="12"/>
      <c r="E48" s="10"/>
      <c r="F48" s="10"/>
      <c r="G48" s="11"/>
      <c r="H48" s="11"/>
      <c r="I48" s="166"/>
      <c r="J48" s="11"/>
    </row>
    <row r="49" spans="1:10" ht="21" customHeight="1" x14ac:dyDescent="0.25">
      <c r="A49" s="11"/>
      <c r="B49" s="12"/>
      <c r="C49" s="12"/>
      <c r="D49" s="12"/>
      <c r="E49" s="10"/>
      <c r="F49" s="10"/>
      <c r="G49" s="11"/>
      <c r="H49" s="11"/>
      <c r="I49" s="166"/>
      <c r="J49" s="11"/>
    </row>
    <row r="50" spans="1:10" ht="21" customHeight="1" x14ac:dyDescent="0.25">
      <c r="A50" s="11"/>
      <c r="B50" s="12"/>
      <c r="C50" s="12"/>
      <c r="D50" s="12"/>
      <c r="E50" s="10"/>
      <c r="F50" s="10"/>
      <c r="G50" s="11"/>
      <c r="H50" s="11"/>
      <c r="I50" s="166"/>
      <c r="J50" s="11"/>
    </row>
    <row r="51" spans="1:10" ht="21" customHeight="1" x14ac:dyDescent="0.25">
      <c r="A51" s="11"/>
      <c r="B51" s="12"/>
      <c r="C51" s="12"/>
      <c r="D51" s="12"/>
      <c r="E51" s="10"/>
      <c r="F51" s="10"/>
      <c r="G51" s="11"/>
      <c r="H51" s="11"/>
      <c r="I51" s="166"/>
      <c r="J51" s="11"/>
    </row>
    <row r="52" spans="1:10" ht="21" customHeight="1" x14ac:dyDescent="0.25">
      <c r="A52" s="11"/>
      <c r="B52" s="12"/>
      <c r="C52" s="12"/>
      <c r="D52" s="12"/>
      <c r="E52" s="10"/>
      <c r="F52" s="10"/>
      <c r="G52" s="11"/>
      <c r="H52" s="11"/>
      <c r="I52" s="166"/>
      <c r="J52" s="11"/>
    </row>
    <row r="53" spans="1:10" ht="21" customHeight="1" x14ac:dyDescent="0.25">
      <c r="A53" s="11"/>
      <c r="B53" s="12"/>
      <c r="C53" s="12"/>
      <c r="D53" s="12"/>
      <c r="E53" s="10"/>
      <c r="F53" s="10"/>
      <c r="G53" s="11"/>
      <c r="H53" s="11"/>
      <c r="I53" s="166"/>
      <c r="J53" s="11"/>
    </row>
    <row r="54" spans="1:10" ht="21" customHeight="1" x14ac:dyDescent="0.25">
      <c r="A54" s="11"/>
      <c r="B54" s="12"/>
      <c r="C54" s="12"/>
      <c r="D54" s="12"/>
      <c r="E54" s="10"/>
      <c r="F54" s="10"/>
      <c r="G54" s="11"/>
      <c r="H54" s="11"/>
      <c r="I54" s="166"/>
      <c r="J54" s="11"/>
    </row>
    <row r="55" spans="1:10" ht="21" customHeight="1" x14ac:dyDescent="0.25">
      <c r="A55" s="11"/>
      <c r="B55" s="12"/>
      <c r="C55" s="12"/>
      <c r="D55" s="12"/>
      <c r="E55" s="10"/>
      <c r="F55" s="10"/>
      <c r="G55" s="11"/>
      <c r="H55" s="11"/>
      <c r="I55" s="166"/>
      <c r="J55" s="11"/>
    </row>
    <row r="56" spans="1:10" ht="21" customHeight="1" x14ac:dyDescent="0.25">
      <c r="A56" s="11"/>
      <c r="B56" s="12"/>
      <c r="C56" s="12"/>
      <c r="D56" s="12"/>
      <c r="E56" s="10"/>
      <c r="F56" s="10"/>
      <c r="G56" s="11"/>
      <c r="H56" s="11"/>
      <c r="I56" s="166"/>
      <c r="J56" s="11"/>
    </row>
    <row r="57" spans="1:10" ht="21" customHeight="1" x14ac:dyDescent="0.25">
      <c r="A57" s="11"/>
      <c r="B57" s="12"/>
      <c r="C57" s="12"/>
      <c r="D57" s="12"/>
      <c r="E57" s="10"/>
      <c r="F57" s="10"/>
      <c r="G57" s="11"/>
      <c r="H57" s="11"/>
      <c r="I57" s="166"/>
      <c r="J57" s="11"/>
    </row>
    <row r="58" spans="1:10" ht="21" customHeight="1" x14ac:dyDescent="0.25">
      <c r="A58" s="11"/>
      <c r="B58" s="12"/>
      <c r="C58" s="12"/>
      <c r="D58" s="12"/>
      <c r="E58" s="10"/>
      <c r="F58" s="10"/>
      <c r="G58" s="11"/>
      <c r="H58" s="11"/>
      <c r="I58" s="166"/>
      <c r="J58" s="11"/>
    </row>
    <row r="59" spans="1:10" ht="21" customHeight="1" x14ac:dyDescent="0.25">
      <c r="A59" s="11"/>
      <c r="B59" s="12"/>
      <c r="C59" s="12"/>
      <c r="D59" s="12"/>
      <c r="E59" s="10"/>
      <c r="F59" s="10"/>
      <c r="G59" s="11"/>
      <c r="H59" s="11"/>
      <c r="I59" s="166"/>
      <c r="J59" s="11"/>
    </row>
    <row r="60" spans="1:10" ht="21" customHeight="1" x14ac:dyDescent="0.25">
      <c r="A60" s="11"/>
      <c r="B60" s="12"/>
      <c r="C60" s="12"/>
      <c r="D60" s="12"/>
      <c r="E60" s="10"/>
      <c r="F60" s="10"/>
      <c r="G60" s="11"/>
      <c r="H60" s="11"/>
      <c r="I60" s="166"/>
      <c r="J60" s="11"/>
    </row>
    <row r="61" spans="1:10" ht="21" customHeight="1" x14ac:dyDescent="0.25">
      <c r="A61" s="11"/>
      <c r="B61" s="12"/>
      <c r="C61" s="12"/>
      <c r="D61" s="12"/>
      <c r="E61" s="10"/>
      <c r="F61" s="10"/>
      <c r="G61" s="11"/>
      <c r="H61" s="11"/>
      <c r="I61" s="166"/>
      <c r="J61" s="11"/>
    </row>
    <row r="62" spans="1:10" ht="21" customHeight="1" x14ac:dyDescent="0.25">
      <c r="A62" s="11"/>
      <c r="B62" s="12"/>
      <c r="C62" s="12"/>
      <c r="D62" s="12"/>
      <c r="E62" s="10"/>
      <c r="F62" s="10"/>
      <c r="G62" s="11"/>
      <c r="H62" s="11"/>
      <c r="I62" s="166"/>
      <c r="J62" s="11"/>
    </row>
    <row r="63" spans="1:10" ht="21" customHeight="1" x14ac:dyDescent="0.25">
      <c r="A63" s="11"/>
      <c r="B63" s="12"/>
      <c r="C63" s="12"/>
      <c r="D63" s="12"/>
      <c r="E63" s="10"/>
      <c r="F63" s="10"/>
      <c r="G63" s="11"/>
      <c r="H63" s="11"/>
      <c r="I63" s="166"/>
      <c r="J63" s="11"/>
    </row>
    <row r="64" spans="1:10" ht="21" customHeight="1" x14ac:dyDescent="0.25">
      <c r="A64" s="11"/>
      <c r="B64" s="12"/>
      <c r="C64" s="12"/>
      <c r="D64" s="12"/>
      <c r="E64" s="10"/>
      <c r="F64" s="10"/>
      <c r="G64" s="11"/>
      <c r="H64" s="11"/>
      <c r="I64" s="166"/>
      <c r="J64" s="11"/>
    </row>
    <row r="65" spans="1:10" ht="21" customHeight="1" x14ac:dyDescent="0.25">
      <c r="A65" s="11"/>
      <c r="B65" s="12"/>
      <c r="C65" s="12"/>
      <c r="D65" s="12"/>
      <c r="E65" s="10"/>
      <c r="F65" s="10"/>
      <c r="G65" s="11"/>
      <c r="H65" s="11"/>
      <c r="I65" s="166"/>
      <c r="J65" s="11"/>
    </row>
    <row r="66" spans="1:10" ht="21" customHeight="1" x14ac:dyDescent="0.25">
      <c r="A66" s="11"/>
      <c r="B66" s="12"/>
      <c r="C66" s="12"/>
      <c r="D66" s="12"/>
      <c r="E66" s="10"/>
      <c r="F66" s="10"/>
      <c r="G66" s="11"/>
      <c r="H66" s="11"/>
      <c r="I66" s="166"/>
      <c r="J66" s="11"/>
    </row>
    <row r="67" spans="1:10" ht="21" customHeight="1" x14ac:dyDescent="0.25">
      <c r="A67" s="11"/>
      <c r="B67" s="12"/>
      <c r="C67" s="12"/>
      <c r="D67" s="12"/>
      <c r="E67" s="10"/>
      <c r="F67" s="10"/>
      <c r="G67" s="11"/>
      <c r="H67" s="11"/>
      <c r="I67" s="166"/>
      <c r="J67" s="11"/>
    </row>
    <row r="68" spans="1:10" ht="21" customHeight="1" x14ac:dyDescent="0.25">
      <c r="A68" s="11"/>
      <c r="B68" s="12"/>
      <c r="C68" s="12"/>
      <c r="D68" s="12"/>
      <c r="E68" s="10"/>
      <c r="F68" s="10"/>
      <c r="G68" s="11"/>
      <c r="H68" s="11"/>
      <c r="I68" s="166"/>
      <c r="J68" s="11"/>
    </row>
    <row r="69" spans="1:10" ht="21" customHeight="1" x14ac:dyDescent="0.25">
      <c r="A69" s="11"/>
      <c r="B69" s="12"/>
      <c r="C69" s="12"/>
      <c r="D69" s="12"/>
      <c r="E69" s="10"/>
      <c r="F69" s="10"/>
      <c r="G69" s="11"/>
      <c r="H69" s="11"/>
      <c r="I69" s="166"/>
      <c r="J69" s="11"/>
    </row>
    <row r="70" spans="1:10" ht="21" customHeight="1" x14ac:dyDescent="0.25">
      <c r="A70" s="11"/>
      <c r="B70" s="12"/>
      <c r="C70" s="12"/>
      <c r="D70" s="12"/>
      <c r="E70" s="10"/>
      <c r="F70" s="10"/>
      <c r="G70" s="11"/>
      <c r="H70" s="11"/>
      <c r="I70" s="166"/>
      <c r="J70" s="11"/>
    </row>
    <row r="71" spans="1:10" ht="21" customHeight="1" x14ac:dyDescent="0.25">
      <c r="A71" s="11"/>
      <c r="B71" s="12"/>
      <c r="C71" s="12"/>
      <c r="D71" s="12"/>
      <c r="E71" s="10"/>
      <c r="F71" s="10"/>
      <c r="G71" s="11"/>
      <c r="H71" s="11"/>
      <c r="I71" s="166"/>
      <c r="J71" s="11"/>
    </row>
    <row r="72" spans="1:10" ht="21" customHeight="1" x14ac:dyDescent="0.25">
      <c r="A72" s="11"/>
      <c r="B72" s="12"/>
      <c r="C72" s="12"/>
      <c r="D72" s="12"/>
      <c r="E72" s="10"/>
      <c r="F72" s="10"/>
      <c r="G72" s="11"/>
      <c r="H72" s="11"/>
      <c r="I72" s="166"/>
      <c r="J72" s="11"/>
    </row>
    <row r="73" spans="1:10" ht="21" customHeight="1" x14ac:dyDescent="0.25">
      <c r="A73" s="11"/>
      <c r="B73" s="12"/>
      <c r="C73" s="12"/>
      <c r="D73" s="12"/>
      <c r="E73" s="10"/>
      <c r="F73" s="10"/>
      <c r="G73" s="11"/>
      <c r="H73" s="11"/>
      <c r="I73" s="166"/>
      <c r="J73" s="11"/>
    </row>
    <row r="74" spans="1:10" ht="21" customHeight="1" x14ac:dyDescent="0.25">
      <c r="A74" s="11"/>
      <c r="B74" s="12"/>
      <c r="C74" s="12"/>
      <c r="D74" s="12"/>
      <c r="E74" s="10"/>
      <c r="F74" s="10"/>
      <c r="G74" s="11"/>
      <c r="H74" s="11"/>
      <c r="I74" s="166"/>
      <c r="J74" s="11"/>
    </row>
    <row r="75" spans="1:10" ht="21" customHeight="1" x14ac:dyDescent="0.25">
      <c r="A75" s="11"/>
      <c r="B75" s="12"/>
      <c r="C75" s="12"/>
      <c r="D75" s="12"/>
      <c r="E75" s="10"/>
      <c r="F75" s="10"/>
      <c r="G75" s="11"/>
      <c r="H75" s="11"/>
      <c r="I75" s="166"/>
      <c r="J75" s="11"/>
    </row>
    <row r="76" spans="1:10" ht="21" customHeight="1" x14ac:dyDescent="0.25">
      <c r="A76" s="11"/>
      <c r="B76" s="12"/>
      <c r="C76" s="12"/>
      <c r="D76" s="12"/>
      <c r="E76" s="10"/>
      <c r="F76" s="10"/>
      <c r="G76" s="11"/>
      <c r="H76" s="11"/>
      <c r="I76" s="166"/>
      <c r="J76" s="11"/>
    </row>
    <row r="77" spans="1:10" ht="21" customHeight="1" x14ac:dyDescent="0.25">
      <c r="A77" s="11"/>
      <c r="B77" s="12"/>
      <c r="C77" s="12"/>
      <c r="D77" s="12"/>
      <c r="E77" s="10"/>
      <c r="F77" s="10"/>
      <c r="G77" s="11"/>
      <c r="H77" s="11"/>
      <c r="I77" s="166"/>
      <c r="J77" s="11"/>
    </row>
    <row r="78" spans="1:10" ht="21" customHeight="1" x14ac:dyDescent="0.25">
      <c r="A78" s="11"/>
      <c r="B78" s="12"/>
      <c r="C78" s="12"/>
      <c r="D78" s="12"/>
      <c r="E78" s="10"/>
      <c r="F78" s="10"/>
      <c r="G78" s="11"/>
      <c r="H78" s="11"/>
      <c r="I78" s="166"/>
      <c r="J78" s="11"/>
    </row>
    <row r="79" spans="1:10" ht="21" customHeight="1" x14ac:dyDescent="0.25">
      <c r="A79" s="11"/>
      <c r="B79" s="12"/>
      <c r="C79" s="12"/>
      <c r="D79" s="12"/>
      <c r="E79" s="10"/>
      <c r="F79" s="10"/>
      <c r="G79" s="11"/>
      <c r="H79" s="11"/>
      <c r="I79" s="166"/>
      <c r="J79" s="11"/>
    </row>
    <row r="80" spans="1:10" ht="21" customHeight="1" x14ac:dyDescent="0.25">
      <c r="A80" s="11"/>
      <c r="B80" s="12"/>
      <c r="C80" s="12"/>
      <c r="D80" s="12"/>
      <c r="E80" s="10"/>
      <c r="F80" s="10"/>
      <c r="G80" s="11"/>
      <c r="H80" s="11"/>
      <c r="I80" s="166"/>
      <c r="J80" s="11"/>
    </row>
    <row r="81" spans="1:10" ht="21" customHeight="1" x14ac:dyDescent="0.25">
      <c r="A81" s="11"/>
      <c r="B81" s="12"/>
      <c r="C81" s="12"/>
      <c r="D81" s="12"/>
      <c r="E81" s="10"/>
      <c r="F81" s="10"/>
      <c r="G81" s="11"/>
      <c r="H81" s="11"/>
      <c r="I81" s="166"/>
      <c r="J81" s="11"/>
    </row>
    <row r="82" spans="1:10" ht="21" customHeight="1" x14ac:dyDescent="0.25">
      <c r="A82" s="11"/>
      <c r="B82" s="12"/>
      <c r="C82" s="12"/>
      <c r="D82" s="12"/>
      <c r="E82" s="10"/>
      <c r="F82" s="10"/>
      <c r="G82" s="11"/>
      <c r="H82" s="11"/>
      <c r="I82" s="166"/>
      <c r="J82" s="11"/>
    </row>
    <row r="83" spans="1:10" ht="21" customHeight="1" x14ac:dyDescent="0.25">
      <c r="A83" s="11"/>
      <c r="B83" s="12"/>
      <c r="C83" s="12"/>
      <c r="D83" s="12"/>
      <c r="E83" s="10"/>
      <c r="F83" s="10"/>
      <c r="G83" s="11"/>
      <c r="H83" s="11"/>
      <c r="I83" s="166"/>
      <c r="J83" s="11"/>
    </row>
    <row r="84" spans="1:10" ht="21" customHeight="1" x14ac:dyDescent="0.25">
      <c r="A84" s="11"/>
      <c r="B84" s="12"/>
      <c r="C84" s="12"/>
      <c r="D84" s="12"/>
      <c r="E84" s="10"/>
      <c r="F84" s="10"/>
      <c r="G84" s="11"/>
      <c r="H84" s="11"/>
      <c r="I84" s="166"/>
      <c r="J84" s="11"/>
    </row>
    <row r="85" spans="1:10" ht="21" customHeight="1" x14ac:dyDescent="0.25">
      <c r="A85" s="11"/>
      <c r="B85" s="12"/>
      <c r="C85" s="12"/>
      <c r="D85" s="12"/>
      <c r="E85" s="10"/>
      <c r="F85" s="10"/>
      <c r="G85" s="11"/>
      <c r="H85" s="11"/>
      <c r="I85" s="166"/>
      <c r="J85" s="11"/>
    </row>
    <row r="86" spans="1:10" ht="21" customHeight="1" x14ac:dyDescent="0.25">
      <c r="A86" s="11"/>
      <c r="B86" s="12"/>
      <c r="C86" s="12"/>
      <c r="D86" s="12"/>
      <c r="E86" s="10"/>
      <c r="F86" s="10"/>
      <c r="G86" s="11"/>
      <c r="H86" s="11"/>
      <c r="I86" s="166"/>
      <c r="J86" s="11"/>
    </row>
    <row r="87" spans="1:10" ht="21" customHeight="1" x14ac:dyDescent="0.25">
      <c r="A87" s="11"/>
      <c r="B87" s="12"/>
      <c r="C87" s="12"/>
      <c r="D87" s="12"/>
      <c r="E87" s="10"/>
      <c r="F87" s="10"/>
      <c r="G87" s="11"/>
      <c r="H87" s="11"/>
      <c r="I87" s="166"/>
      <c r="J87" s="11"/>
    </row>
    <row r="88" spans="1:10" ht="21" customHeight="1" x14ac:dyDescent="0.25">
      <c r="A88" s="11"/>
      <c r="B88" s="12"/>
      <c r="C88" s="12"/>
      <c r="D88" s="12"/>
      <c r="E88" s="10"/>
      <c r="F88" s="10"/>
      <c r="G88" s="11"/>
      <c r="H88" s="11"/>
      <c r="I88" s="166"/>
      <c r="J88" s="11"/>
    </row>
    <row r="89" spans="1:10" ht="21" customHeight="1" x14ac:dyDescent="0.25">
      <c r="A89" s="11"/>
      <c r="B89" s="12"/>
      <c r="C89" s="12"/>
      <c r="D89" s="12"/>
      <c r="E89" s="10"/>
      <c r="F89" s="10"/>
      <c r="G89" s="11"/>
      <c r="H89" s="11"/>
      <c r="I89" s="166"/>
      <c r="J89" s="11"/>
    </row>
    <row r="90" spans="1:10" ht="21" customHeight="1" x14ac:dyDescent="0.25">
      <c r="A90" s="11"/>
      <c r="B90" s="12"/>
      <c r="C90" s="12"/>
      <c r="D90" s="12"/>
      <c r="E90" s="10"/>
      <c r="F90" s="10"/>
      <c r="G90" s="11"/>
      <c r="H90" s="11"/>
      <c r="I90" s="166"/>
      <c r="J90" s="11"/>
    </row>
    <row r="91" spans="1:10" ht="21" customHeight="1" x14ac:dyDescent="0.25">
      <c r="A91" s="11"/>
      <c r="B91" s="12"/>
      <c r="C91" s="12"/>
      <c r="D91" s="12"/>
      <c r="E91" s="10"/>
      <c r="F91" s="10"/>
      <c r="G91" s="11"/>
      <c r="H91" s="11"/>
      <c r="I91" s="166"/>
      <c r="J91" s="11"/>
    </row>
    <row r="92" spans="1:10" ht="21" customHeight="1" x14ac:dyDescent="0.25">
      <c r="A92" s="11"/>
      <c r="B92" s="12"/>
      <c r="C92" s="12"/>
      <c r="D92" s="12"/>
      <c r="E92" s="10"/>
      <c r="F92" s="10"/>
      <c r="G92" s="11"/>
      <c r="H92" s="11"/>
      <c r="I92" s="166"/>
      <c r="J92" s="11"/>
    </row>
    <row r="93" spans="1:10" ht="21" customHeight="1" x14ac:dyDescent="0.25">
      <c r="A93" s="11"/>
      <c r="B93" s="12"/>
      <c r="C93" s="12"/>
      <c r="D93" s="12"/>
      <c r="E93" s="10"/>
      <c r="F93" s="10"/>
      <c r="G93" s="11"/>
      <c r="H93" s="11"/>
      <c r="I93" s="166"/>
      <c r="J93" s="11"/>
    </row>
    <row r="94" spans="1:10" ht="21" customHeight="1" x14ac:dyDescent="0.25">
      <c r="A94" s="11"/>
      <c r="B94" s="12"/>
      <c r="C94" s="12"/>
      <c r="D94" s="12"/>
      <c r="E94" s="10"/>
      <c r="F94" s="10"/>
      <c r="G94" s="11"/>
      <c r="H94" s="11"/>
      <c r="I94" s="166"/>
      <c r="J94" s="11"/>
    </row>
    <row r="95" spans="1:10" ht="21" customHeight="1" x14ac:dyDescent="0.25">
      <c r="A95" s="11"/>
      <c r="B95" s="12"/>
      <c r="C95" s="12"/>
      <c r="D95" s="12"/>
      <c r="E95" s="10"/>
      <c r="F95" s="10"/>
      <c r="G95" s="11"/>
      <c r="H95" s="11"/>
      <c r="I95" s="166"/>
      <c r="J95" s="11"/>
    </row>
    <row r="96" spans="1:10" ht="21" customHeight="1" x14ac:dyDescent="0.25">
      <c r="A96" s="11"/>
      <c r="B96" s="12"/>
      <c r="C96" s="12"/>
      <c r="D96" s="12"/>
      <c r="E96" s="10"/>
      <c r="F96" s="10"/>
      <c r="G96" s="11"/>
      <c r="H96" s="11"/>
      <c r="I96" s="166"/>
      <c r="J96" s="11"/>
    </row>
    <row r="97" spans="1:10" ht="21" customHeight="1" x14ac:dyDescent="0.25">
      <c r="A97" s="11"/>
      <c r="B97" s="12"/>
      <c r="C97" s="12"/>
      <c r="D97" s="12"/>
      <c r="E97" s="10"/>
      <c r="F97" s="10"/>
      <c r="G97" s="11"/>
      <c r="H97" s="11"/>
      <c r="I97" s="166"/>
      <c r="J97" s="11"/>
    </row>
    <row r="98" spans="1:10" ht="21" customHeight="1" x14ac:dyDescent="0.25">
      <c r="A98" s="11"/>
      <c r="B98" s="12"/>
      <c r="C98" s="12"/>
      <c r="D98" s="12"/>
      <c r="E98" s="10"/>
      <c r="F98" s="10"/>
      <c r="G98" s="11"/>
      <c r="H98" s="11"/>
      <c r="I98" s="166"/>
      <c r="J98" s="11"/>
    </row>
    <row r="99" spans="1:10" ht="21" customHeight="1" x14ac:dyDescent="0.25">
      <c r="A99" s="11"/>
      <c r="B99" s="12"/>
      <c r="C99" s="12"/>
      <c r="D99" s="12"/>
      <c r="E99" s="10"/>
      <c r="F99" s="10"/>
      <c r="G99" s="11"/>
      <c r="H99" s="11"/>
      <c r="I99" s="166"/>
      <c r="J99" s="11"/>
    </row>
    <row r="100" spans="1:10" ht="21" customHeight="1" x14ac:dyDescent="0.25">
      <c r="A100" s="11"/>
      <c r="B100" s="12"/>
      <c r="C100" s="12"/>
      <c r="D100" s="12"/>
      <c r="E100" s="10"/>
      <c r="F100" s="10"/>
      <c r="G100" s="11"/>
      <c r="H100" s="11"/>
      <c r="I100" s="166"/>
      <c r="J100" s="11"/>
    </row>
    <row r="101" spans="1:10" ht="21" customHeight="1" x14ac:dyDescent="0.25">
      <c r="A101" s="11"/>
      <c r="B101" s="12"/>
      <c r="C101" s="12"/>
      <c r="D101" s="12"/>
      <c r="E101" s="10"/>
      <c r="F101" s="10"/>
      <c r="G101" s="11"/>
      <c r="H101" s="11"/>
      <c r="I101" s="166"/>
      <c r="J101" s="11"/>
    </row>
    <row r="102" spans="1:10" ht="21" customHeight="1" x14ac:dyDescent="0.25">
      <c r="A102" s="11"/>
      <c r="B102" s="12"/>
      <c r="C102" s="12"/>
      <c r="D102" s="12"/>
      <c r="E102" s="10"/>
      <c r="F102" s="10"/>
      <c r="G102" s="11"/>
      <c r="H102" s="11"/>
      <c r="I102" s="166"/>
      <c r="J102" s="11"/>
    </row>
    <row r="103" spans="1:10" ht="21" customHeight="1" x14ac:dyDescent="0.25">
      <c r="A103" s="11"/>
      <c r="B103" s="12"/>
      <c r="C103" s="12"/>
      <c r="D103" s="12"/>
      <c r="E103" s="10"/>
      <c r="F103" s="10"/>
      <c r="G103" s="11"/>
      <c r="H103" s="11"/>
      <c r="I103" s="166"/>
      <c r="J103" s="11"/>
    </row>
    <row r="104" spans="1:10" ht="21" customHeight="1" x14ac:dyDescent="0.25">
      <c r="A104" s="11"/>
      <c r="B104" s="12"/>
      <c r="C104" s="12"/>
      <c r="D104" s="12"/>
      <c r="E104" s="10"/>
      <c r="F104" s="10"/>
      <c r="G104" s="11"/>
      <c r="H104" s="11"/>
      <c r="I104" s="166"/>
      <c r="J104" s="11"/>
    </row>
    <row r="105" spans="1:10" ht="21" customHeight="1" x14ac:dyDescent="0.25">
      <c r="A105" s="11"/>
      <c r="B105" s="12"/>
      <c r="C105" s="12"/>
      <c r="D105" s="12"/>
      <c r="E105" s="10"/>
      <c r="F105" s="10"/>
      <c r="G105" s="11"/>
      <c r="H105" s="11"/>
      <c r="I105" s="166"/>
      <c r="J105" s="11"/>
    </row>
    <row r="106" spans="1:10" ht="21" customHeight="1" x14ac:dyDescent="0.25">
      <c r="A106" s="11"/>
      <c r="B106" s="12"/>
      <c r="C106" s="12"/>
      <c r="D106" s="12"/>
      <c r="E106" s="10"/>
      <c r="F106" s="10"/>
      <c r="G106" s="11"/>
      <c r="H106" s="11"/>
      <c r="I106" s="166"/>
      <c r="J106" s="11"/>
    </row>
    <row r="107" spans="1:10" ht="21" customHeight="1" x14ac:dyDescent="0.25">
      <c r="A107" s="11"/>
      <c r="B107" s="12"/>
      <c r="C107" s="12"/>
      <c r="D107" s="12"/>
      <c r="E107" s="10"/>
      <c r="F107" s="10"/>
      <c r="G107" s="11"/>
      <c r="H107" s="11"/>
      <c r="I107" s="166"/>
      <c r="J107" s="11"/>
    </row>
    <row r="108" spans="1:10" ht="21" customHeight="1" x14ac:dyDescent="0.25">
      <c r="A108" s="11"/>
      <c r="B108" s="12"/>
      <c r="C108" s="12"/>
      <c r="D108" s="12"/>
      <c r="E108" s="10"/>
      <c r="F108" s="10"/>
      <c r="G108" s="11"/>
      <c r="H108" s="11"/>
      <c r="I108" s="166"/>
      <c r="J108" s="11"/>
    </row>
    <row r="109" spans="1:10" ht="21" customHeight="1" x14ac:dyDescent="0.25">
      <c r="A109" s="11"/>
      <c r="B109" s="12"/>
      <c r="C109" s="12"/>
      <c r="D109" s="12"/>
      <c r="E109" s="10"/>
      <c r="F109" s="10"/>
      <c r="G109" s="11"/>
      <c r="H109" s="11"/>
      <c r="I109" s="166"/>
      <c r="J109" s="11"/>
    </row>
    <row r="110" spans="1:10" ht="21" customHeight="1" x14ac:dyDescent="0.25">
      <c r="A110" s="11"/>
      <c r="B110" s="12"/>
      <c r="C110" s="12"/>
      <c r="D110" s="12"/>
      <c r="E110" s="10"/>
      <c r="F110" s="10"/>
      <c r="G110" s="11"/>
      <c r="H110" s="11"/>
      <c r="I110" s="166"/>
      <c r="J110" s="11"/>
    </row>
    <row r="111" spans="1:10" ht="21" customHeight="1" x14ac:dyDescent="0.25">
      <c r="A111" s="11"/>
      <c r="B111" s="12"/>
      <c r="C111" s="12"/>
      <c r="D111" s="12"/>
      <c r="E111" s="10"/>
      <c r="F111" s="10"/>
      <c r="G111" s="11"/>
      <c r="H111" s="11"/>
      <c r="I111" s="166"/>
      <c r="J111" s="11"/>
    </row>
    <row r="112" spans="1:10" ht="21" customHeight="1" x14ac:dyDescent="0.25">
      <c r="A112" s="11"/>
      <c r="B112" s="12"/>
      <c r="C112" s="12"/>
      <c r="D112" s="12"/>
      <c r="E112" s="10"/>
      <c r="F112" s="10"/>
      <c r="G112" s="11"/>
      <c r="H112" s="11"/>
      <c r="I112" s="166"/>
      <c r="J112" s="11"/>
    </row>
    <row r="113" spans="1:10" ht="21" customHeight="1" x14ac:dyDescent="0.25">
      <c r="A113" s="11"/>
      <c r="B113" s="12"/>
      <c r="C113" s="12"/>
      <c r="D113" s="12"/>
      <c r="E113" s="10"/>
      <c r="F113" s="10"/>
      <c r="G113" s="11"/>
      <c r="H113" s="11"/>
      <c r="I113" s="166"/>
      <c r="J113" s="11"/>
    </row>
    <row r="114" spans="1:10" ht="21" customHeight="1" x14ac:dyDescent="0.25">
      <c r="A114" s="11"/>
      <c r="B114" s="12"/>
      <c r="C114" s="12"/>
      <c r="D114" s="12"/>
      <c r="E114" s="10"/>
      <c r="F114" s="10"/>
      <c r="G114" s="11"/>
      <c r="H114" s="11"/>
      <c r="I114" s="166"/>
      <c r="J114" s="11"/>
    </row>
    <row r="115" spans="1:10" ht="21" customHeight="1" x14ac:dyDescent="0.25">
      <c r="A115" s="11"/>
      <c r="B115" s="12"/>
      <c r="C115" s="12"/>
      <c r="D115" s="12"/>
      <c r="E115" s="10"/>
      <c r="F115" s="10"/>
      <c r="G115" s="11"/>
      <c r="H115" s="11"/>
      <c r="I115" s="166"/>
      <c r="J115" s="11"/>
    </row>
    <row r="116" spans="1:10" ht="21" customHeight="1" x14ac:dyDescent="0.25">
      <c r="A116" s="11"/>
      <c r="B116" s="12"/>
      <c r="C116" s="12"/>
      <c r="D116" s="12"/>
      <c r="E116" s="10"/>
      <c r="F116" s="10"/>
      <c r="G116" s="11"/>
      <c r="H116" s="11"/>
      <c r="I116" s="166"/>
      <c r="J116" s="11"/>
    </row>
    <row r="117" spans="1:10" ht="21" customHeight="1" x14ac:dyDescent="0.25">
      <c r="A117" s="11"/>
      <c r="B117" s="12"/>
      <c r="C117" s="12"/>
      <c r="D117" s="12"/>
      <c r="E117" s="10"/>
      <c r="F117" s="10"/>
      <c r="G117" s="11"/>
      <c r="H117" s="11"/>
      <c r="I117" s="166"/>
    </row>
    <row r="118" spans="1:10" ht="21" customHeight="1" x14ac:dyDescent="0.25">
      <c r="A118" s="11"/>
      <c r="B118" s="12"/>
    </row>
  </sheetData>
  <mergeCells count="8">
    <mergeCell ref="B8:B14"/>
    <mergeCell ref="I1:J1"/>
    <mergeCell ref="B1:H1"/>
    <mergeCell ref="A36:I36"/>
    <mergeCell ref="B4:B6"/>
    <mergeCell ref="B18:B20"/>
    <mergeCell ref="B15:B17"/>
    <mergeCell ref="B21:B35"/>
  </mergeCells>
  <printOptions horizontalCentered="1"/>
  <pageMargins left="0.25" right="0.25" top="0.25" bottom="0.25" header="0" footer="0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BFC2-95D7-4703-8DA5-F61847884810}">
  <sheetPr>
    <pageSetUpPr fitToPage="1"/>
  </sheetPr>
  <dimension ref="A1:O99"/>
  <sheetViews>
    <sheetView topLeftCell="A16" zoomScale="85" zoomScaleNormal="85" workbookViewId="0">
      <selection activeCell="G31" sqref="G31"/>
    </sheetView>
  </sheetViews>
  <sheetFormatPr defaultColWidth="14.42578125" defaultRowHeight="21" customHeight="1" x14ac:dyDescent="0.25"/>
  <cols>
    <col min="1" max="1" width="6.7109375" style="34" customWidth="1"/>
    <col min="2" max="3" width="20.7109375" style="34" customWidth="1"/>
    <col min="4" max="4" width="10.7109375" style="34" customWidth="1"/>
    <col min="5" max="5" width="59.28515625" style="34" customWidth="1"/>
    <col min="6" max="6" width="10" style="4" customWidth="1"/>
    <col min="7" max="10" width="12.7109375" style="34" customWidth="1"/>
    <col min="11" max="11" width="14.140625" style="108" customWidth="1"/>
    <col min="12" max="12" width="12.28515625" style="108" customWidth="1"/>
    <col min="13" max="14" width="14.42578125" style="108"/>
    <col min="15" max="16384" width="14.42578125" style="34"/>
  </cols>
  <sheetData>
    <row r="1" spans="1:15" ht="21" customHeight="1" x14ac:dyDescent="0.25">
      <c r="A1" s="34" t="s">
        <v>0</v>
      </c>
      <c r="B1" s="379" t="s">
        <v>15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2"/>
      <c r="E2" s="3"/>
      <c r="F2" s="42"/>
      <c r="G2" s="3"/>
      <c r="I2" s="5"/>
    </row>
    <row r="3" spans="1:15" ht="42" customHeight="1" x14ac:dyDescent="0.25">
      <c r="A3" s="53" t="s">
        <v>30</v>
      </c>
      <c r="B3" s="6" t="s">
        <v>17</v>
      </c>
      <c r="C3" s="6" t="s">
        <v>18</v>
      </c>
      <c r="D3" s="6" t="s">
        <v>19</v>
      </c>
      <c r="E3" s="7" t="s">
        <v>20</v>
      </c>
      <c r="F3" s="8" t="s">
        <v>55</v>
      </c>
      <c r="G3" s="8" t="s">
        <v>21</v>
      </c>
      <c r="H3" s="6" t="s">
        <v>22</v>
      </c>
      <c r="I3" s="9" t="s">
        <v>23</v>
      </c>
      <c r="J3" s="6" t="s">
        <v>24</v>
      </c>
      <c r="K3" s="303"/>
      <c r="L3" s="303"/>
      <c r="M3" s="339"/>
      <c r="N3" s="303"/>
    </row>
    <row r="4" spans="1:15" s="126" customFormat="1" ht="24" customHeight="1" x14ac:dyDescent="0.25">
      <c r="A4" s="111">
        <v>1</v>
      </c>
      <c r="B4" s="416" t="s">
        <v>122</v>
      </c>
      <c r="C4" s="179" t="s">
        <v>58</v>
      </c>
      <c r="D4" s="179">
        <v>566362</v>
      </c>
      <c r="E4" s="35" t="s">
        <v>114</v>
      </c>
      <c r="F4" s="179">
        <v>24</v>
      </c>
      <c r="G4" s="27">
        <v>1.55</v>
      </c>
      <c r="H4" s="27">
        <v>1.55</v>
      </c>
      <c r="I4" s="28">
        <v>72</v>
      </c>
      <c r="J4" s="33">
        <f t="shared" ref="J4:J31" si="0">I4*H4</f>
        <v>111.60000000000001</v>
      </c>
      <c r="K4" s="366"/>
      <c r="L4" s="108"/>
      <c r="M4" s="222"/>
      <c r="N4" s="108"/>
      <c r="O4" s="233"/>
    </row>
    <row r="5" spans="1:15" s="73" customFormat="1" ht="24" customHeight="1" x14ac:dyDescent="0.25">
      <c r="A5" s="111">
        <v>2</v>
      </c>
      <c r="B5" s="402"/>
      <c r="C5" s="31">
        <v>8888626174822</v>
      </c>
      <c r="D5" s="179">
        <v>572863</v>
      </c>
      <c r="E5" s="35" t="s">
        <v>360</v>
      </c>
      <c r="F5" s="179">
        <v>12</v>
      </c>
      <c r="G5" s="27">
        <v>3</v>
      </c>
      <c r="H5" s="27">
        <v>3</v>
      </c>
      <c r="I5" s="28">
        <v>48</v>
      </c>
      <c r="J5" s="33">
        <f t="shared" si="0"/>
        <v>144</v>
      </c>
      <c r="K5" s="366"/>
      <c r="L5" s="108"/>
      <c r="M5" s="222"/>
      <c r="N5" s="108"/>
      <c r="O5" s="233"/>
    </row>
    <row r="6" spans="1:15" s="89" customFormat="1" ht="24" customHeight="1" x14ac:dyDescent="0.25">
      <c r="A6" s="111">
        <v>3</v>
      </c>
      <c r="B6" s="403"/>
      <c r="C6" s="31">
        <v>8888626117133</v>
      </c>
      <c r="D6" s="179">
        <v>568210</v>
      </c>
      <c r="E6" s="99" t="s">
        <v>97</v>
      </c>
      <c r="F6" s="111">
        <v>20</v>
      </c>
      <c r="G6" s="27">
        <v>2.99</v>
      </c>
      <c r="H6" s="27">
        <v>2.99</v>
      </c>
      <c r="I6" s="28">
        <v>40</v>
      </c>
      <c r="J6" s="33">
        <f t="shared" si="0"/>
        <v>119.60000000000001</v>
      </c>
      <c r="K6" s="366"/>
      <c r="L6" s="108"/>
      <c r="M6" s="222"/>
      <c r="N6" s="108"/>
      <c r="O6" s="233"/>
    </row>
    <row r="7" spans="1:15" s="81" customFormat="1" ht="24" customHeight="1" x14ac:dyDescent="0.25">
      <c r="A7" s="248">
        <v>4</v>
      </c>
      <c r="B7" s="417" t="s">
        <v>213</v>
      </c>
      <c r="C7" s="25">
        <v>8888626153186</v>
      </c>
      <c r="D7" s="185">
        <v>570597</v>
      </c>
      <c r="E7" s="32" t="s">
        <v>174</v>
      </c>
      <c r="F7" s="44">
        <v>12</v>
      </c>
      <c r="G7" s="27">
        <v>1.1499999999999999</v>
      </c>
      <c r="H7" s="27">
        <v>1.1499999999999999</v>
      </c>
      <c r="I7" s="169">
        <v>180</v>
      </c>
      <c r="J7" s="33">
        <f t="shared" si="0"/>
        <v>206.99999999999997</v>
      </c>
      <c r="K7" s="366"/>
      <c r="L7" s="108"/>
      <c r="M7" s="222"/>
      <c r="N7" s="108"/>
      <c r="O7" s="233"/>
    </row>
    <row r="8" spans="1:15" s="153" customFormat="1" ht="24" customHeight="1" x14ac:dyDescent="0.25">
      <c r="A8" s="248">
        <v>5</v>
      </c>
      <c r="B8" s="418"/>
      <c r="C8" s="117">
        <v>8888626153209</v>
      </c>
      <c r="D8" s="181">
        <v>570599</v>
      </c>
      <c r="E8" s="186" t="s">
        <v>175</v>
      </c>
      <c r="F8" s="187">
        <v>12</v>
      </c>
      <c r="G8" s="27">
        <v>1.1499999999999999</v>
      </c>
      <c r="H8" s="27">
        <v>1.1499999999999999</v>
      </c>
      <c r="I8" s="169">
        <v>72</v>
      </c>
      <c r="J8" s="33">
        <f t="shared" si="0"/>
        <v>82.8</v>
      </c>
      <c r="K8" s="366"/>
      <c r="L8" s="108"/>
      <c r="M8" s="222"/>
      <c r="N8" s="108"/>
      <c r="O8" s="233"/>
    </row>
    <row r="9" spans="1:15" s="142" customFormat="1" ht="24" customHeight="1" x14ac:dyDescent="0.25">
      <c r="A9" s="248">
        <v>6</v>
      </c>
      <c r="B9" s="267" t="s">
        <v>235</v>
      </c>
      <c r="C9" s="117">
        <v>8888626167787</v>
      </c>
      <c r="D9" s="261">
        <v>572059</v>
      </c>
      <c r="E9" s="186" t="s">
        <v>265</v>
      </c>
      <c r="F9" s="187">
        <v>20</v>
      </c>
      <c r="G9" s="27">
        <v>3.5</v>
      </c>
      <c r="H9" s="27">
        <v>3.5</v>
      </c>
      <c r="I9" s="169">
        <v>40</v>
      </c>
      <c r="J9" s="33">
        <f t="shared" si="0"/>
        <v>140</v>
      </c>
      <c r="K9" s="366"/>
      <c r="L9" s="108"/>
      <c r="M9" s="222"/>
      <c r="N9" s="108"/>
      <c r="O9" s="233"/>
    </row>
    <row r="10" spans="1:15" s="259" customFormat="1" ht="24" customHeight="1" x14ac:dyDescent="0.25">
      <c r="A10" s="248">
        <v>7</v>
      </c>
      <c r="B10" s="326" t="s">
        <v>396</v>
      </c>
      <c r="C10" s="117">
        <v>8888626169408</v>
      </c>
      <c r="D10" s="261">
        <v>572183</v>
      </c>
      <c r="E10" s="186" t="s">
        <v>242</v>
      </c>
      <c r="F10" s="187">
        <v>30</v>
      </c>
      <c r="G10" s="27">
        <v>2.44</v>
      </c>
      <c r="H10" s="27">
        <v>2.44</v>
      </c>
      <c r="I10" s="169">
        <v>60</v>
      </c>
      <c r="J10" s="33">
        <f t="shared" si="0"/>
        <v>146.4</v>
      </c>
      <c r="K10" s="366"/>
      <c r="L10" s="108"/>
      <c r="M10" s="222"/>
      <c r="N10" s="108"/>
      <c r="O10" s="233"/>
    </row>
    <row r="11" spans="1:15" s="118" customFormat="1" ht="33.6" customHeight="1" x14ac:dyDescent="0.25">
      <c r="A11" s="248">
        <v>8</v>
      </c>
      <c r="B11" s="401" t="s">
        <v>170</v>
      </c>
      <c r="C11" s="25" t="s">
        <v>136</v>
      </c>
      <c r="D11" s="115">
        <v>863119</v>
      </c>
      <c r="E11" s="35" t="s">
        <v>154</v>
      </c>
      <c r="F11" s="179">
        <v>12</v>
      </c>
      <c r="G11" s="27">
        <v>2.8</v>
      </c>
      <c r="H11" s="27">
        <v>2.8</v>
      </c>
      <c r="I11" s="28">
        <v>48</v>
      </c>
      <c r="J11" s="33">
        <f t="shared" si="0"/>
        <v>134.39999999999998</v>
      </c>
      <c r="K11" s="366"/>
      <c r="L11" s="108"/>
      <c r="M11" s="222"/>
      <c r="N11" s="108"/>
      <c r="O11" s="233"/>
    </row>
    <row r="12" spans="1:15" s="126" customFormat="1" ht="31.5" x14ac:dyDescent="0.25">
      <c r="A12" s="248">
        <v>9</v>
      </c>
      <c r="B12" s="403"/>
      <c r="C12" s="25" t="s">
        <v>137</v>
      </c>
      <c r="D12" s="115">
        <v>861884</v>
      </c>
      <c r="E12" s="35" t="s">
        <v>135</v>
      </c>
      <c r="F12" s="179">
        <v>6</v>
      </c>
      <c r="G12" s="27">
        <v>5.95</v>
      </c>
      <c r="H12" s="27">
        <v>5.95</v>
      </c>
      <c r="I12" s="28">
        <v>60</v>
      </c>
      <c r="J12" s="33">
        <f t="shared" si="0"/>
        <v>357</v>
      </c>
      <c r="K12" s="366"/>
      <c r="L12" s="108"/>
      <c r="M12" s="222"/>
      <c r="N12" s="108"/>
      <c r="O12" s="233"/>
    </row>
    <row r="13" spans="1:15" s="91" customFormat="1" ht="30.6" customHeight="1" x14ac:dyDescent="0.25">
      <c r="A13" s="248">
        <v>10</v>
      </c>
      <c r="B13" s="401" t="s">
        <v>312</v>
      </c>
      <c r="C13" s="25">
        <v>8888626170374</v>
      </c>
      <c r="D13" s="325">
        <v>572167</v>
      </c>
      <c r="E13" s="35" t="s">
        <v>358</v>
      </c>
      <c r="F13" s="325">
        <v>10</v>
      </c>
      <c r="G13" s="27">
        <v>1</v>
      </c>
      <c r="H13" s="27">
        <v>1</v>
      </c>
      <c r="I13" s="28">
        <v>40</v>
      </c>
      <c r="J13" s="33">
        <f t="shared" si="0"/>
        <v>40</v>
      </c>
      <c r="K13" s="366"/>
      <c r="L13" s="108"/>
      <c r="M13" s="222"/>
      <c r="N13" s="108"/>
      <c r="O13" s="233"/>
    </row>
    <row r="14" spans="1:15" s="323" customFormat="1" ht="30.6" customHeight="1" x14ac:dyDescent="0.25">
      <c r="A14" s="248">
        <v>11</v>
      </c>
      <c r="B14" s="402"/>
      <c r="C14" s="25">
        <v>8888626170367</v>
      </c>
      <c r="D14" s="325">
        <v>572166</v>
      </c>
      <c r="E14" s="35" t="s">
        <v>359</v>
      </c>
      <c r="F14" s="325">
        <v>10</v>
      </c>
      <c r="G14" s="27">
        <v>1</v>
      </c>
      <c r="H14" s="27">
        <v>1</v>
      </c>
      <c r="I14" s="28">
        <v>20</v>
      </c>
      <c r="J14" s="33">
        <f t="shared" si="0"/>
        <v>20</v>
      </c>
      <c r="K14" s="366"/>
      <c r="L14" s="108"/>
      <c r="M14" s="222"/>
      <c r="N14" s="108"/>
      <c r="O14" s="233"/>
    </row>
    <row r="15" spans="1:15" s="323" customFormat="1" ht="30.6" customHeight="1" x14ac:dyDescent="0.25">
      <c r="A15" s="248">
        <v>12</v>
      </c>
      <c r="B15" s="402"/>
      <c r="C15" s="25" t="s">
        <v>313</v>
      </c>
      <c r="D15" s="325">
        <v>570609</v>
      </c>
      <c r="E15" s="35" t="s">
        <v>314</v>
      </c>
      <c r="F15" s="325">
        <v>22</v>
      </c>
      <c r="G15" s="27">
        <v>5.45</v>
      </c>
      <c r="H15" s="27">
        <v>5.45</v>
      </c>
      <c r="I15" s="28">
        <v>88</v>
      </c>
      <c r="J15" s="33">
        <f t="shared" si="0"/>
        <v>479.6</v>
      </c>
      <c r="K15" s="366"/>
      <c r="L15" s="108"/>
      <c r="M15" s="222"/>
      <c r="N15" s="108"/>
      <c r="O15" s="233"/>
    </row>
    <row r="16" spans="1:15" s="323" customFormat="1" ht="30.6" customHeight="1" x14ac:dyDescent="0.25">
      <c r="A16" s="248">
        <v>13</v>
      </c>
      <c r="B16" s="402"/>
      <c r="C16" s="25" t="s">
        <v>315</v>
      </c>
      <c r="D16" s="325">
        <v>570608</v>
      </c>
      <c r="E16" s="35" t="s">
        <v>316</v>
      </c>
      <c r="F16" s="325">
        <v>22</v>
      </c>
      <c r="G16" s="27">
        <v>4.45</v>
      </c>
      <c r="H16" s="27">
        <v>4.45</v>
      </c>
      <c r="I16" s="28">
        <v>66</v>
      </c>
      <c r="J16" s="33">
        <f t="shared" si="0"/>
        <v>293.7</v>
      </c>
      <c r="K16" s="366"/>
      <c r="L16" s="108"/>
      <c r="M16" s="222"/>
      <c r="N16" s="108"/>
      <c r="O16" s="233"/>
    </row>
    <row r="17" spans="1:15" s="323" customFormat="1" ht="30.6" customHeight="1" x14ac:dyDescent="0.25">
      <c r="A17" s="248">
        <v>14</v>
      </c>
      <c r="B17" s="402"/>
      <c r="C17" s="25">
        <v>8888626150369</v>
      </c>
      <c r="D17" s="325">
        <v>570607</v>
      </c>
      <c r="E17" s="35" t="s">
        <v>317</v>
      </c>
      <c r="F17" s="325">
        <v>22</v>
      </c>
      <c r="G17" s="27">
        <v>4.45</v>
      </c>
      <c r="H17" s="27">
        <v>4.45</v>
      </c>
      <c r="I17" s="28">
        <v>44</v>
      </c>
      <c r="J17" s="33">
        <f t="shared" si="0"/>
        <v>195.8</v>
      </c>
      <c r="K17" s="366"/>
      <c r="L17" s="108"/>
      <c r="M17" s="222"/>
      <c r="N17" s="108"/>
      <c r="O17" s="233"/>
    </row>
    <row r="18" spans="1:15" s="323" customFormat="1" ht="30.6" customHeight="1" x14ac:dyDescent="0.25">
      <c r="A18" s="248">
        <v>15</v>
      </c>
      <c r="B18" s="402"/>
      <c r="C18" s="25">
        <v>8888626150390</v>
      </c>
      <c r="D18" s="346">
        <v>570610</v>
      </c>
      <c r="E18" s="35" t="s">
        <v>357</v>
      </c>
      <c r="F18" s="346">
        <v>22</v>
      </c>
      <c r="G18" s="27">
        <v>4.45</v>
      </c>
      <c r="H18" s="27">
        <v>4.45</v>
      </c>
      <c r="I18" s="28">
        <v>22</v>
      </c>
      <c r="J18" s="33">
        <f t="shared" si="0"/>
        <v>97.9</v>
      </c>
      <c r="K18" s="366"/>
      <c r="L18" s="108"/>
      <c r="M18" s="222"/>
      <c r="N18" s="108"/>
      <c r="O18" s="233"/>
    </row>
    <row r="19" spans="1:15" s="323" customFormat="1" ht="30.6" customHeight="1" x14ac:dyDescent="0.25">
      <c r="A19" s="248">
        <v>16</v>
      </c>
      <c r="B19" s="403"/>
      <c r="C19" s="25">
        <v>8888626161792</v>
      </c>
      <c r="D19" s="325">
        <v>571326</v>
      </c>
      <c r="E19" s="35" t="s">
        <v>318</v>
      </c>
      <c r="F19" s="325">
        <v>22</v>
      </c>
      <c r="G19" s="27">
        <v>5.45</v>
      </c>
      <c r="H19" s="27">
        <v>5.45</v>
      </c>
      <c r="I19" s="28">
        <v>44</v>
      </c>
      <c r="J19" s="33">
        <f t="shared" si="0"/>
        <v>239.8</v>
      </c>
      <c r="K19" s="366"/>
      <c r="L19" s="108"/>
      <c r="M19" s="222"/>
      <c r="N19" s="108"/>
      <c r="O19" s="233"/>
    </row>
    <row r="20" spans="1:15" s="73" customFormat="1" ht="30.6" customHeight="1" x14ac:dyDescent="0.25">
      <c r="A20" s="248">
        <v>17</v>
      </c>
      <c r="B20" s="401" t="s">
        <v>124</v>
      </c>
      <c r="C20" s="31">
        <v>8888626118000</v>
      </c>
      <c r="D20" s="288">
        <v>568285</v>
      </c>
      <c r="E20" s="35" t="s">
        <v>95</v>
      </c>
      <c r="F20" s="288">
        <v>12</v>
      </c>
      <c r="G20" s="27">
        <v>1.75</v>
      </c>
      <c r="H20" s="27">
        <v>1.75</v>
      </c>
      <c r="I20" s="28">
        <v>48</v>
      </c>
      <c r="J20" s="33">
        <f t="shared" si="0"/>
        <v>84</v>
      </c>
      <c r="K20" s="366"/>
      <c r="L20" s="108"/>
      <c r="M20" s="222"/>
      <c r="N20" s="108"/>
      <c r="O20" s="233"/>
    </row>
    <row r="21" spans="1:15" s="72" customFormat="1" ht="30.6" customHeight="1" x14ac:dyDescent="0.25">
      <c r="A21" s="248">
        <v>18</v>
      </c>
      <c r="B21" s="402"/>
      <c r="C21" s="31">
        <v>8888626158372</v>
      </c>
      <c r="D21" s="346">
        <v>570939</v>
      </c>
      <c r="E21" s="358" t="s">
        <v>212</v>
      </c>
      <c r="F21" s="346">
        <v>24</v>
      </c>
      <c r="G21" s="27">
        <v>1.75</v>
      </c>
      <c r="H21" s="27">
        <v>1.75</v>
      </c>
      <c r="I21" s="28">
        <v>72</v>
      </c>
      <c r="J21" s="33">
        <f t="shared" si="0"/>
        <v>126</v>
      </c>
      <c r="K21" s="366"/>
      <c r="L21" s="108"/>
      <c r="M21" s="222"/>
      <c r="N21" s="108"/>
      <c r="O21" s="233"/>
    </row>
    <row r="22" spans="1:15" ht="30.6" customHeight="1" x14ac:dyDescent="0.25">
      <c r="A22" s="248">
        <v>19</v>
      </c>
      <c r="B22" s="402"/>
      <c r="C22" s="357">
        <v>8888626158419</v>
      </c>
      <c r="D22" s="345">
        <v>570943</v>
      </c>
      <c r="E22" s="136" t="s">
        <v>355</v>
      </c>
      <c r="F22" s="345">
        <v>24</v>
      </c>
      <c r="G22" s="27">
        <v>1.2</v>
      </c>
      <c r="H22" s="27">
        <v>1.2</v>
      </c>
      <c r="I22" s="28">
        <v>48</v>
      </c>
      <c r="J22" s="33">
        <f t="shared" si="0"/>
        <v>57.599999999999994</v>
      </c>
      <c r="K22" s="366"/>
      <c r="M22" s="222"/>
      <c r="O22" s="233"/>
    </row>
    <row r="23" spans="1:15" s="93" customFormat="1" ht="30.6" customHeight="1" x14ac:dyDescent="0.25">
      <c r="A23" s="248">
        <v>20</v>
      </c>
      <c r="B23" s="403"/>
      <c r="C23" s="204" t="s">
        <v>186</v>
      </c>
      <c r="D23" s="288">
        <v>568097</v>
      </c>
      <c r="E23" s="99" t="s">
        <v>157</v>
      </c>
      <c r="F23" s="248">
        <v>6</v>
      </c>
      <c r="G23" s="27">
        <v>5.99</v>
      </c>
      <c r="H23" s="27">
        <v>5.99</v>
      </c>
      <c r="I23" s="28">
        <v>24</v>
      </c>
      <c r="J23" s="33">
        <f t="shared" si="0"/>
        <v>143.76</v>
      </c>
      <c r="K23" s="366"/>
      <c r="L23" s="108"/>
      <c r="M23" s="222"/>
      <c r="N23" s="108"/>
      <c r="O23" s="233"/>
    </row>
    <row r="24" spans="1:15" s="205" customFormat="1" ht="30.6" customHeight="1" x14ac:dyDescent="0.25">
      <c r="A24" s="248">
        <v>21</v>
      </c>
      <c r="B24" s="248" t="s">
        <v>185</v>
      </c>
      <c r="C24" s="31">
        <v>8888626159805</v>
      </c>
      <c r="D24" s="288">
        <v>571074</v>
      </c>
      <c r="E24" s="99" t="s">
        <v>166</v>
      </c>
      <c r="F24" s="248">
        <v>40</v>
      </c>
      <c r="G24" s="27">
        <v>1.35</v>
      </c>
      <c r="H24" s="27">
        <v>1.35</v>
      </c>
      <c r="I24" s="288">
        <v>240</v>
      </c>
      <c r="J24" s="33">
        <f t="shared" si="0"/>
        <v>324</v>
      </c>
      <c r="K24" s="366"/>
      <c r="L24" s="108"/>
      <c r="M24" s="222"/>
      <c r="N24" s="108"/>
      <c r="O24" s="233"/>
    </row>
    <row r="25" spans="1:15" s="142" customFormat="1" ht="30.6" customHeight="1" x14ac:dyDescent="0.25">
      <c r="A25" s="248">
        <v>22</v>
      </c>
      <c r="B25" s="401" t="s">
        <v>123</v>
      </c>
      <c r="C25" s="31">
        <v>8888626181776</v>
      </c>
      <c r="D25" s="288">
        <v>573030</v>
      </c>
      <c r="E25" s="99" t="s">
        <v>361</v>
      </c>
      <c r="F25" s="248">
        <v>12</v>
      </c>
      <c r="G25" s="27">
        <v>2.5</v>
      </c>
      <c r="H25" s="27">
        <v>2.5</v>
      </c>
      <c r="I25" s="288">
        <v>24</v>
      </c>
      <c r="J25" s="33">
        <f t="shared" si="0"/>
        <v>60</v>
      </c>
      <c r="K25" s="366"/>
      <c r="L25" s="108"/>
      <c r="M25" s="222"/>
      <c r="N25" s="108"/>
      <c r="O25" s="233"/>
    </row>
    <row r="26" spans="1:15" ht="30.6" customHeight="1" x14ac:dyDescent="0.25">
      <c r="A26" s="248">
        <v>23</v>
      </c>
      <c r="B26" s="402"/>
      <c r="C26" s="31">
        <v>8888626181790</v>
      </c>
      <c r="D26" s="346">
        <v>573031</v>
      </c>
      <c r="E26" s="99" t="s">
        <v>362</v>
      </c>
      <c r="F26" s="248">
        <v>12</v>
      </c>
      <c r="G26" s="27">
        <v>2.5</v>
      </c>
      <c r="H26" s="27">
        <v>2.5</v>
      </c>
      <c r="I26" s="346">
        <v>36</v>
      </c>
      <c r="J26" s="33">
        <f t="shared" si="0"/>
        <v>90</v>
      </c>
      <c r="K26" s="366"/>
      <c r="M26" s="222"/>
      <c r="O26" s="233"/>
    </row>
    <row r="27" spans="1:15" s="178" customFormat="1" ht="30.6" customHeight="1" x14ac:dyDescent="0.25">
      <c r="A27" s="248">
        <v>24</v>
      </c>
      <c r="B27" s="403"/>
      <c r="C27" s="359">
        <v>8888626181783</v>
      </c>
      <c r="D27" s="74">
        <v>573032</v>
      </c>
      <c r="E27" s="75" t="s">
        <v>363</v>
      </c>
      <c r="F27" s="76">
        <v>12</v>
      </c>
      <c r="G27" s="105">
        <v>2.5</v>
      </c>
      <c r="H27" s="105">
        <v>2.5</v>
      </c>
      <c r="I27" s="74">
        <v>48</v>
      </c>
      <c r="J27" s="360">
        <f t="shared" si="0"/>
        <v>120</v>
      </c>
      <c r="K27" s="366"/>
      <c r="L27" s="108"/>
      <c r="M27" s="222"/>
      <c r="N27" s="108"/>
      <c r="O27" s="233"/>
    </row>
    <row r="28" spans="1:15" s="178" customFormat="1" ht="24" customHeight="1" x14ac:dyDescent="0.25">
      <c r="A28" s="248">
        <v>25</v>
      </c>
      <c r="B28" s="401" t="s">
        <v>285</v>
      </c>
      <c r="C28" s="31">
        <v>8888626168111</v>
      </c>
      <c r="D28" s="288">
        <v>571753</v>
      </c>
      <c r="E28" s="99" t="s">
        <v>284</v>
      </c>
      <c r="F28" s="248">
        <v>8</v>
      </c>
      <c r="G28" s="27">
        <v>6.95</v>
      </c>
      <c r="H28" s="27">
        <v>6.95</v>
      </c>
      <c r="I28" s="288">
        <v>32</v>
      </c>
      <c r="J28" s="33">
        <f t="shared" si="0"/>
        <v>222.4</v>
      </c>
      <c r="K28" s="366"/>
      <c r="L28" s="108"/>
      <c r="M28" s="222"/>
      <c r="N28" s="108"/>
      <c r="O28" s="233"/>
    </row>
    <row r="29" spans="1:15" ht="24" customHeight="1" x14ac:dyDescent="0.25">
      <c r="A29" s="248">
        <v>26</v>
      </c>
      <c r="B29" s="403"/>
      <c r="C29" s="31">
        <v>8888626168128</v>
      </c>
      <c r="D29" s="346">
        <v>571754</v>
      </c>
      <c r="E29" s="99" t="s">
        <v>356</v>
      </c>
      <c r="F29" s="248">
        <v>24</v>
      </c>
      <c r="G29" s="27">
        <v>3.2</v>
      </c>
      <c r="H29" s="27">
        <v>3.2</v>
      </c>
      <c r="I29" s="346">
        <v>48</v>
      </c>
      <c r="J29" s="33">
        <f t="shared" si="0"/>
        <v>153.60000000000002</v>
      </c>
      <c r="K29" s="366"/>
      <c r="M29" s="222"/>
      <c r="O29" s="233"/>
    </row>
    <row r="30" spans="1:15" ht="24" customHeight="1" x14ac:dyDescent="0.25">
      <c r="A30" s="248">
        <v>27</v>
      </c>
      <c r="B30" s="99" t="s">
        <v>396</v>
      </c>
      <c r="C30" s="31">
        <v>8888626128801</v>
      </c>
      <c r="D30" s="288">
        <v>569181</v>
      </c>
      <c r="E30" s="99" t="s">
        <v>69</v>
      </c>
      <c r="F30" s="248">
        <v>12</v>
      </c>
      <c r="G30" s="27">
        <v>5.95</v>
      </c>
      <c r="H30" s="27">
        <v>5.95</v>
      </c>
      <c r="I30" s="29">
        <v>36</v>
      </c>
      <c r="J30" s="33">
        <f t="shared" si="0"/>
        <v>214.20000000000002</v>
      </c>
      <c r="K30" s="366"/>
      <c r="M30" s="222"/>
      <c r="O30" s="233"/>
    </row>
    <row r="31" spans="1:15" ht="21" customHeight="1" x14ac:dyDescent="0.25">
      <c r="A31" s="248">
        <v>28</v>
      </c>
      <c r="B31" s="202" t="s">
        <v>172</v>
      </c>
      <c r="C31" s="197" t="s">
        <v>178</v>
      </c>
      <c r="D31" s="191">
        <v>571096</v>
      </c>
      <c r="E31" s="198" t="s">
        <v>179</v>
      </c>
      <c r="F31" s="199">
        <v>18</v>
      </c>
      <c r="G31" s="27">
        <v>2.8</v>
      </c>
      <c r="H31" s="27">
        <v>2.8</v>
      </c>
      <c r="I31" s="28">
        <v>288</v>
      </c>
      <c r="J31" s="33">
        <f t="shared" si="0"/>
        <v>806.4</v>
      </c>
      <c r="K31" s="366"/>
      <c r="M31" s="222"/>
      <c r="O31" s="233"/>
    </row>
    <row r="32" spans="1:15" ht="21" customHeight="1" x14ac:dyDescent="0.25">
      <c r="A32" s="407" t="s">
        <v>118</v>
      </c>
      <c r="B32" s="414"/>
      <c r="C32" s="414"/>
      <c r="D32" s="414"/>
      <c r="E32" s="414"/>
      <c r="F32" s="414"/>
      <c r="G32" s="414"/>
      <c r="H32" s="414"/>
      <c r="I32" s="415"/>
      <c r="J32" s="152">
        <f>SUM(J4:J31)</f>
        <v>5211.5599999999995</v>
      </c>
    </row>
    <row r="33" spans="1:10" ht="21" customHeight="1" x14ac:dyDescent="0.25">
      <c r="A33" s="60"/>
      <c r="B33" s="61"/>
      <c r="C33" s="61"/>
      <c r="D33" s="61"/>
      <c r="E33" s="62"/>
      <c r="F33" s="60"/>
      <c r="G33" s="62"/>
      <c r="H33" s="60"/>
      <c r="I33" s="63"/>
      <c r="J33" s="10"/>
    </row>
    <row r="34" spans="1:10" ht="21" customHeight="1" x14ac:dyDescent="0.25">
      <c r="A34" s="11"/>
      <c r="B34" s="12"/>
      <c r="C34" s="12"/>
      <c r="D34" s="12"/>
      <c r="E34" s="10"/>
      <c r="F34" s="11"/>
      <c r="G34" s="10"/>
      <c r="H34" s="11"/>
      <c r="I34" s="5"/>
      <c r="J34" s="10"/>
    </row>
    <row r="35" spans="1:10" ht="21" customHeight="1" x14ac:dyDescent="0.25">
      <c r="A35" s="11"/>
      <c r="B35" s="12"/>
      <c r="C35" s="12"/>
      <c r="D35" s="12"/>
      <c r="E35" s="10"/>
      <c r="F35" s="11"/>
      <c r="G35" s="10"/>
      <c r="H35" s="11"/>
      <c r="I35" s="5"/>
      <c r="J35" s="10"/>
    </row>
    <row r="36" spans="1:10" ht="21" customHeight="1" x14ac:dyDescent="0.25">
      <c r="A36" s="11"/>
      <c r="B36" s="12"/>
      <c r="C36" s="12"/>
      <c r="D36" s="12"/>
      <c r="E36" s="10"/>
      <c r="F36" s="11"/>
      <c r="G36" s="10"/>
      <c r="H36" s="11"/>
      <c r="I36" s="5"/>
      <c r="J36" s="10"/>
    </row>
    <row r="37" spans="1:10" ht="21" customHeight="1" x14ac:dyDescent="0.25">
      <c r="A37" s="11"/>
      <c r="B37" s="12"/>
      <c r="C37" s="12"/>
      <c r="D37" s="12"/>
      <c r="E37" s="10"/>
      <c r="F37" s="11"/>
      <c r="G37" s="10"/>
      <c r="H37" s="11"/>
      <c r="I37" s="5"/>
      <c r="J37" s="10"/>
    </row>
    <row r="38" spans="1:10" ht="21" customHeight="1" x14ac:dyDescent="0.25">
      <c r="A38" s="11"/>
      <c r="B38" s="12"/>
      <c r="C38" s="12"/>
      <c r="D38" s="12"/>
      <c r="E38" s="10"/>
      <c r="F38" s="11"/>
      <c r="G38" s="10"/>
      <c r="H38" s="11"/>
      <c r="I38" s="5"/>
      <c r="J38" s="10"/>
    </row>
    <row r="39" spans="1:10" ht="21" customHeight="1" x14ac:dyDescent="0.25">
      <c r="A39" s="11"/>
      <c r="B39" s="12"/>
      <c r="C39" s="12"/>
      <c r="D39" s="12"/>
      <c r="E39" s="10"/>
      <c r="F39" s="11"/>
      <c r="G39" s="10"/>
      <c r="H39" s="11"/>
      <c r="I39" s="5"/>
      <c r="J39" s="10"/>
    </row>
    <row r="40" spans="1:10" ht="21" customHeight="1" x14ac:dyDescent="0.25">
      <c r="A40" s="11"/>
      <c r="B40" s="12"/>
      <c r="C40" s="12"/>
      <c r="D40" s="12"/>
      <c r="E40" s="10"/>
      <c r="F40" s="11"/>
      <c r="G40" s="10"/>
      <c r="H40" s="11"/>
      <c r="I40" s="5"/>
      <c r="J40" s="10"/>
    </row>
    <row r="41" spans="1:10" ht="21" customHeight="1" x14ac:dyDescent="0.25">
      <c r="A41" s="11"/>
      <c r="B41" s="12"/>
      <c r="C41" s="12"/>
      <c r="D41" s="12"/>
      <c r="E41" s="10"/>
      <c r="F41" s="11"/>
      <c r="G41" s="10"/>
      <c r="H41" s="11"/>
      <c r="I41" s="5"/>
      <c r="J41" s="10"/>
    </row>
    <row r="42" spans="1:10" ht="21" customHeight="1" x14ac:dyDescent="0.25">
      <c r="A42" s="11"/>
      <c r="B42" s="12"/>
      <c r="C42" s="12"/>
      <c r="D42" s="12"/>
      <c r="E42" s="10"/>
      <c r="F42" s="11"/>
      <c r="G42" s="10"/>
      <c r="H42" s="11"/>
      <c r="I42" s="5"/>
      <c r="J42" s="10"/>
    </row>
    <row r="43" spans="1:10" ht="21" customHeight="1" x14ac:dyDescent="0.25">
      <c r="A43" s="11"/>
      <c r="B43" s="12"/>
      <c r="C43" s="12"/>
      <c r="D43" s="12"/>
      <c r="E43" s="10"/>
      <c r="F43" s="11"/>
      <c r="G43" s="10"/>
      <c r="H43" s="11"/>
      <c r="I43" s="5"/>
      <c r="J43" s="10"/>
    </row>
    <row r="44" spans="1:10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10"/>
    </row>
    <row r="45" spans="1:10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10"/>
    </row>
    <row r="46" spans="1:10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0"/>
    </row>
    <row r="47" spans="1:10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10"/>
    </row>
    <row r="48" spans="1:10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0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0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0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0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0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0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0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0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0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0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0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0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0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0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0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0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0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0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0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0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0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0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0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0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0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0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0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0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0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0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0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0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0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0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0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0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0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0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0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0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0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0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0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0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0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0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0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0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0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0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0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0"/>
    </row>
  </sheetData>
  <mergeCells count="10">
    <mergeCell ref="B25:B27"/>
    <mergeCell ref="B20:B23"/>
    <mergeCell ref="B13:B19"/>
    <mergeCell ref="A32:I32"/>
    <mergeCell ref="B1:H1"/>
    <mergeCell ref="I1:J1"/>
    <mergeCell ref="B11:B12"/>
    <mergeCell ref="B4:B6"/>
    <mergeCell ref="B7:B8"/>
    <mergeCell ref="B28:B29"/>
  </mergeCells>
  <printOptions horizontalCentered="1"/>
  <pageMargins left="0.25" right="0.25" top="0.25" bottom="0.25" header="0" footer="0"/>
  <pageSetup paperSize="9" scale="6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70EA-BC90-4F94-BCB6-196343231659}">
  <sheetPr>
    <pageSetUpPr fitToPage="1"/>
  </sheetPr>
  <dimension ref="A1:O108"/>
  <sheetViews>
    <sheetView topLeftCell="A16" zoomScale="85" zoomScaleNormal="85" workbookViewId="0">
      <selection activeCell="E27" sqref="E27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18.7109375" style="1" customWidth="1"/>
    <col min="4" max="4" width="10.7109375" style="1" customWidth="1"/>
    <col min="5" max="5" width="67.7109375" style="1" customWidth="1"/>
    <col min="6" max="6" width="9.85546875" style="4" bestFit="1" customWidth="1"/>
    <col min="7" max="10" width="12.7109375" style="1" customWidth="1"/>
    <col min="11" max="11" width="14.140625" style="108" customWidth="1"/>
    <col min="12" max="12" width="14" style="108" customWidth="1"/>
    <col min="13" max="14" width="14.42578125" style="108"/>
    <col min="15" max="16384" width="14.42578125" style="1"/>
  </cols>
  <sheetData>
    <row r="1" spans="1:15" ht="21" customHeight="1" x14ac:dyDescent="0.25">
      <c r="A1" s="1" t="s">
        <v>0</v>
      </c>
      <c r="B1" s="379" t="s">
        <v>28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2"/>
      <c r="E2" s="3"/>
      <c r="F2" s="42"/>
      <c r="G2" s="3"/>
      <c r="H2" s="4"/>
      <c r="I2" s="5"/>
      <c r="J2" s="18"/>
    </row>
    <row r="3" spans="1:15" ht="42" customHeight="1" x14ac:dyDescent="0.25">
      <c r="A3" s="6" t="s">
        <v>30</v>
      </c>
      <c r="B3" s="53" t="s">
        <v>17</v>
      </c>
      <c r="C3" s="53" t="s">
        <v>18</v>
      </c>
      <c r="D3" s="53" t="s">
        <v>19</v>
      </c>
      <c r="E3" s="7" t="s">
        <v>20</v>
      </c>
      <c r="F3" s="8" t="s">
        <v>55</v>
      </c>
      <c r="G3" s="8" t="s">
        <v>21</v>
      </c>
      <c r="H3" s="6" t="s">
        <v>22</v>
      </c>
      <c r="I3" s="9" t="s">
        <v>23</v>
      </c>
      <c r="J3" s="6" t="s">
        <v>24</v>
      </c>
      <c r="K3" s="303"/>
      <c r="L3" s="303"/>
      <c r="M3" s="339"/>
      <c r="N3" s="303"/>
      <c r="O3" s="342"/>
    </row>
    <row r="4" spans="1:15" s="247" customFormat="1" ht="21" customHeight="1" x14ac:dyDescent="0.25">
      <c r="A4" s="246">
        <v>1</v>
      </c>
      <c r="B4" s="396" t="s">
        <v>305</v>
      </c>
      <c r="C4" s="90">
        <v>8888626165950</v>
      </c>
      <c r="D4" s="249">
        <v>1970529</v>
      </c>
      <c r="E4" s="99" t="s">
        <v>236</v>
      </c>
      <c r="F4" s="248">
        <v>6</v>
      </c>
      <c r="G4" s="27">
        <v>9.8000000000000007</v>
      </c>
      <c r="H4" s="27">
        <v>9.8000000000000007</v>
      </c>
      <c r="I4" s="169">
        <v>168</v>
      </c>
      <c r="J4" s="33">
        <f t="shared" ref="J4:J37" si="0">I4*H4</f>
        <v>1646.4</v>
      </c>
      <c r="K4" s="367"/>
      <c r="L4" s="138"/>
      <c r="M4" s="136"/>
      <c r="N4" s="108"/>
      <c r="O4" s="233"/>
    </row>
    <row r="5" spans="1:15" s="72" customFormat="1" ht="21" customHeight="1" x14ac:dyDescent="0.25">
      <c r="A5" s="71">
        <v>2</v>
      </c>
      <c r="B5" s="410"/>
      <c r="C5" s="90">
        <v>8888626066509</v>
      </c>
      <c r="D5" s="249">
        <v>1970173</v>
      </c>
      <c r="E5" s="99" t="s">
        <v>99</v>
      </c>
      <c r="F5" s="248">
        <v>1</v>
      </c>
      <c r="G5" s="304">
        <v>12.95</v>
      </c>
      <c r="H5" s="304">
        <v>12.95</v>
      </c>
      <c r="I5" s="346">
        <v>240</v>
      </c>
      <c r="J5" s="33">
        <f t="shared" si="0"/>
        <v>3108</v>
      </c>
      <c r="K5" s="367"/>
      <c r="L5" s="138"/>
      <c r="M5" s="136"/>
      <c r="N5" s="108"/>
      <c r="O5" s="233"/>
    </row>
    <row r="6" spans="1:15" s="82" customFormat="1" ht="21" customHeight="1" x14ac:dyDescent="0.25">
      <c r="A6" s="246">
        <v>3</v>
      </c>
      <c r="B6" s="410"/>
      <c r="C6" s="90">
        <v>8888626177663</v>
      </c>
      <c r="D6" s="249">
        <v>1970620</v>
      </c>
      <c r="E6" s="99" t="s">
        <v>369</v>
      </c>
      <c r="F6" s="248">
        <v>1</v>
      </c>
      <c r="G6" s="27">
        <v>24.95</v>
      </c>
      <c r="H6" s="27">
        <v>24.95</v>
      </c>
      <c r="I6" s="29">
        <v>40</v>
      </c>
      <c r="J6" s="33">
        <f t="shared" si="0"/>
        <v>998</v>
      </c>
      <c r="K6" s="367"/>
      <c r="L6" s="138"/>
      <c r="M6" s="136"/>
      <c r="N6" s="108"/>
      <c r="O6" s="233"/>
    </row>
    <row r="7" spans="1:15" s="24" customFormat="1" ht="21" customHeight="1" x14ac:dyDescent="0.25">
      <c r="A7" s="340">
        <v>4</v>
      </c>
      <c r="B7" s="410"/>
      <c r="C7" s="90">
        <v>8888626176666</v>
      </c>
      <c r="D7" s="346">
        <v>1970612</v>
      </c>
      <c r="E7" s="99" t="s">
        <v>370</v>
      </c>
      <c r="F7" s="248">
        <v>10</v>
      </c>
      <c r="G7" s="304">
        <v>5.5</v>
      </c>
      <c r="H7" s="304">
        <v>5.5</v>
      </c>
      <c r="I7" s="29">
        <v>40</v>
      </c>
      <c r="J7" s="33">
        <f t="shared" si="0"/>
        <v>220</v>
      </c>
      <c r="K7" s="367"/>
      <c r="L7" s="138"/>
      <c r="M7" s="136"/>
      <c r="N7" s="108"/>
      <c r="O7" s="233"/>
    </row>
    <row r="8" spans="1:15" ht="21" customHeight="1" x14ac:dyDescent="0.25">
      <c r="A8" s="340">
        <v>5</v>
      </c>
      <c r="B8" s="397"/>
      <c r="C8" s="90">
        <v>8888626064680</v>
      </c>
      <c r="D8" s="249">
        <v>1970156</v>
      </c>
      <c r="E8" s="99" t="s">
        <v>43</v>
      </c>
      <c r="F8" s="248">
        <v>4</v>
      </c>
      <c r="G8" s="27">
        <v>8.9499999999999993</v>
      </c>
      <c r="H8" s="27">
        <v>8.9499999999999993</v>
      </c>
      <c r="I8" s="29">
        <v>20</v>
      </c>
      <c r="J8" s="33">
        <f t="shared" si="0"/>
        <v>179</v>
      </c>
      <c r="K8" s="367"/>
      <c r="L8" s="138"/>
      <c r="M8" s="136"/>
      <c r="O8" s="233"/>
    </row>
    <row r="9" spans="1:15" s="134" customFormat="1" ht="21" customHeight="1" x14ac:dyDescent="0.25">
      <c r="A9" s="340">
        <v>6</v>
      </c>
      <c r="B9" s="393" t="s">
        <v>306</v>
      </c>
      <c r="C9" s="90">
        <v>8888626165936</v>
      </c>
      <c r="D9" s="249">
        <v>1970521</v>
      </c>
      <c r="E9" s="99" t="s">
        <v>327</v>
      </c>
      <c r="F9" s="248">
        <v>4</v>
      </c>
      <c r="G9" s="27">
        <v>5.85</v>
      </c>
      <c r="H9" s="27">
        <v>5.85</v>
      </c>
      <c r="I9" s="173">
        <v>400</v>
      </c>
      <c r="J9" s="33">
        <f t="shared" si="0"/>
        <v>2340</v>
      </c>
      <c r="K9" s="367"/>
      <c r="L9" s="138"/>
      <c r="M9" s="136"/>
      <c r="N9" s="108"/>
      <c r="O9" s="233"/>
    </row>
    <row r="10" spans="1:15" s="245" customFormat="1" ht="21" customHeight="1" x14ac:dyDescent="0.25">
      <c r="A10" s="347">
        <v>7</v>
      </c>
      <c r="B10" s="394"/>
      <c r="C10" s="361">
        <v>8888626175225</v>
      </c>
      <c r="D10" s="351">
        <v>1970593</v>
      </c>
      <c r="E10" s="75" t="s">
        <v>378</v>
      </c>
      <c r="F10" s="76">
        <v>10</v>
      </c>
      <c r="G10" s="105">
        <v>3.95</v>
      </c>
      <c r="H10" s="105">
        <v>3.95</v>
      </c>
      <c r="I10" s="362">
        <v>40</v>
      </c>
      <c r="J10" s="360">
        <f t="shared" si="0"/>
        <v>158</v>
      </c>
      <c r="K10" s="367"/>
      <c r="L10" s="138"/>
      <c r="M10" s="136"/>
      <c r="N10" s="108"/>
      <c r="O10" s="233"/>
    </row>
    <row r="11" spans="1:15" s="164" customFormat="1" ht="21" customHeight="1" x14ac:dyDescent="0.25">
      <c r="A11" s="347">
        <v>8</v>
      </c>
      <c r="B11" s="394"/>
      <c r="C11" s="283">
        <v>8888626144399</v>
      </c>
      <c r="D11" s="273">
        <v>1970426</v>
      </c>
      <c r="E11" s="277" t="s">
        <v>364</v>
      </c>
      <c r="F11" s="237">
        <v>6</v>
      </c>
      <c r="G11" s="27">
        <v>9.9499999999999993</v>
      </c>
      <c r="H11" s="27">
        <v>9.9499999999999993</v>
      </c>
      <c r="I11" s="173">
        <v>300</v>
      </c>
      <c r="J11" s="33">
        <f t="shared" si="0"/>
        <v>2985</v>
      </c>
      <c r="K11" s="367"/>
      <c r="L11" s="138"/>
      <c r="M11" s="136"/>
      <c r="N11" s="108"/>
      <c r="O11" s="233"/>
    </row>
    <row r="12" spans="1:15" s="177" customFormat="1" ht="21" customHeight="1" x14ac:dyDescent="0.25">
      <c r="A12" s="347">
        <v>9</v>
      </c>
      <c r="B12" s="394"/>
      <c r="C12" s="283">
        <v>8888626176659</v>
      </c>
      <c r="D12" s="318">
        <v>1970613</v>
      </c>
      <c r="E12" s="302" t="s">
        <v>368</v>
      </c>
      <c r="F12" s="308">
        <v>10</v>
      </c>
      <c r="G12" s="27">
        <v>6.5</v>
      </c>
      <c r="H12" s="27">
        <v>6.5</v>
      </c>
      <c r="I12" s="173">
        <v>30</v>
      </c>
      <c r="J12" s="33">
        <f t="shared" si="0"/>
        <v>195</v>
      </c>
      <c r="K12" s="367"/>
      <c r="L12" s="138"/>
      <c r="M12" s="136"/>
      <c r="N12" s="108"/>
      <c r="O12" s="233"/>
    </row>
    <row r="13" spans="1:15" s="272" customFormat="1" ht="21" customHeight="1" x14ac:dyDescent="0.25">
      <c r="A13" s="347">
        <v>10</v>
      </c>
      <c r="B13" s="394"/>
      <c r="C13" s="283">
        <v>8888626177694</v>
      </c>
      <c r="D13" s="344">
        <v>1970622</v>
      </c>
      <c r="E13" s="302" t="s">
        <v>366</v>
      </c>
      <c r="F13" s="308">
        <v>10</v>
      </c>
      <c r="G13" s="27">
        <v>5.95</v>
      </c>
      <c r="H13" s="27">
        <v>5.95</v>
      </c>
      <c r="I13" s="173">
        <v>70</v>
      </c>
      <c r="J13" s="33">
        <f t="shared" si="0"/>
        <v>416.5</v>
      </c>
      <c r="K13" s="367"/>
      <c r="L13" s="138"/>
      <c r="M13" s="136"/>
      <c r="N13" s="108"/>
      <c r="O13" s="233"/>
    </row>
    <row r="14" spans="1:15" s="223" customFormat="1" ht="21" customHeight="1" x14ac:dyDescent="0.25">
      <c r="A14" s="347">
        <v>11</v>
      </c>
      <c r="B14" s="394"/>
      <c r="C14" s="283">
        <v>8888626175171</v>
      </c>
      <c r="D14" s="318">
        <v>1909352</v>
      </c>
      <c r="E14" s="302" t="s">
        <v>365</v>
      </c>
      <c r="F14" s="308">
        <v>10</v>
      </c>
      <c r="G14" s="27">
        <v>2</v>
      </c>
      <c r="H14" s="27">
        <v>2</v>
      </c>
      <c r="I14" s="173">
        <v>100</v>
      </c>
      <c r="J14" s="33">
        <f t="shared" si="0"/>
        <v>200</v>
      </c>
      <c r="K14" s="367"/>
      <c r="L14" s="138"/>
      <c r="M14" s="136"/>
      <c r="N14" s="108"/>
      <c r="O14" s="233"/>
    </row>
    <row r="15" spans="1:15" s="73" customFormat="1" ht="21" customHeight="1" x14ac:dyDescent="0.25">
      <c r="A15" s="347">
        <v>12</v>
      </c>
      <c r="B15" s="394"/>
      <c r="C15" s="163">
        <v>8888626028675</v>
      </c>
      <c r="D15" s="249">
        <v>1970069</v>
      </c>
      <c r="E15" s="302" t="s">
        <v>109</v>
      </c>
      <c r="F15" s="308">
        <v>12</v>
      </c>
      <c r="G15" s="27">
        <v>5.8</v>
      </c>
      <c r="H15" s="27">
        <v>5.8</v>
      </c>
      <c r="I15" s="173">
        <v>84</v>
      </c>
      <c r="J15" s="33">
        <f t="shared" si="0"/>
        <v>487.2</v>
      </c>
      <c r="K15" s="367"/>
      <c r="L15" s="138"/>
      <c r="M15" s="136"/>
      <c r="N15" s="108"/>
      <c r="O15" s="233"/>
    </row>
    <row r="16" spans="1:15" s="24" customFormat="1" ht="21" customHeight="1" x14ac:dyDescent="0.25">
      <c r="A16" s="347">
        <v>13</v>
      </c>
      <c r="B16" s="394"/>
      <c r="C16" s="114">
        <v>8888626140667</v>
      </c>
      <c r="D16" s="249">
        <v>1970412</v>
      </c>
      <c r="E16" s="302" t="s">
        <v>81</v>
      </c>
      <c r="F16" s="308">
        <v>24</v>
      </c>
      <c r="G16" s="27">
        <v>1.5</v>
      </c>
      <c r="H16" s="27">
        <v>1.5</v>
      </c>
      <c r="I16" s="29">
        <v>168</v>
      </c>
      <c r="J16" s="33">
        <f t="shared" si="0"/>
        <v>252</v>
      </c>
      <c r="K16" s="367"/>
      <c r="L16" s="138"/>
      <c r="M16" s="136"/>
      <c r="N16" s="108"/>
      <c r="O16" s="233"/>
    </row>
    <row r="17" spans="1:15" s="205" customFormat="1" ht="21" customHeight="1" x14ac:dyDescent="0.25">
      <c r="A17" s="347">
        <v>14</v>
      </c>
      <c r="B17" s="395"/>
      <c r="C17" s="282">
        <v>8888626165974</v>
      </c>
      <c r="D17" s="275">
        <v>1970530</v>
      </c>
      <c r="E17" s="302" t="s">
        <v>243</v>
      </c>
      <c r="F17" s="308">
        <v>10</v>
      </c>
      <c r="G17" s="27">
        <v>4.95</v>
      </c>
      <c r="H17" s="27">
        <v>4.95</v>
      </c>
      <c r="I17" s="29">
        <v>50</v>
      </c>
      <c r="J17" s="33">
        <f t="shared" si="0"/>
        <v>247.5</v>
      </c>
      <c r="K17" s="367"/>
      <c r="L17" s="138"/>
      <c r="M17" s="136"/>
      <c r="N17" s="108"/>
      <c r="O17" s="233"/>
    </row>
    <row r="18" spans="1:15" s="205" customFormat="1" ht="21" customHeight="1" x14ac:dyDescent="0.25">
      <c r="A18" s="347">
        <v>15</v>
      </c>
      <c r="B18" s="393" t="s">
        <v>221</v>
      </c>
      <c r="C18" s="25">
        <v>8888626115658</v>
      </c>
      <c r="D18" s="249">
        <v>1970317</v>
      </c>
      <c r="E18" s="302" t="s">
        <v>52</v>
      </c>
      <c r="F18" s="308">
        <v>12</v>
      </c>
      <c r="G18" s="27">
        <v>2.4500000000000002</v>
      </c>
      <c r="H18" s="27">
        <v>2.4500000000000002</v>
      </c>
      <c r="I18" s="29">
        <v>48</v>
      </c>
      <c r="J18" s="33">
        <f t="shared" si="0"/>
        <v>117.60000000000001</v>
      </c>
      <c r="K18" s="367"/>
      <c r="L18" s="138"/>
      <c r="M18" s="136"/>
      <c r="N18" s="108"/>
      <c r="O18" s="233"/>
    </row>
    <row r="19" spans="1:15" s="278" customFormat="1" ht="21" customHeight="1" x14ac:dyDescent="0.25">
      <c r="A19" s="347">
        <v>16</v>
      </c>
      <c r="B19" s="394"/>
      <c r="C19" s="25">
        <v>8888626067155</v>
      </c>
      <c r="D19" s="249">
        <v>1970184</v>
      </c>
      <c r="E19" s="302" t="s">
        <v>198</v>
      </c>
      <c r="F19" s="308">
        <v>24</v>
      </c>
      <c r="G19" s="27">
        <v>2.85</v>
      </c>
      <c r="H19" s="27">
        <v>2.85</v>
      </c>
      <c r="I19" s="29">
        <v>72</v>
      </c>
      <c r="J19" s="33">
        <f>I19*H19</f>
        <v>205.20000000000002</v>
      </c>
      <c r="K19" s="367"/>
      <c r="L19" s="138"/>
      <c r="M19" s="136"/>
      <c r="N19" s="108"/>
      <c r="O19" s="233"/>
    </row>
    <row r="20" spans="1:15" s="278" customFormat="1" ht="21" customHeight="1" x14ac:dyDescent="0.25">
      <c r="A20" s="347">
        <v>17</v>
      </c>
      <c r="B20" s="394"/>
      <c r="C20" s="25">
        <v>8888626138558</v>
      </c>
      <c r="D20" s="249">
        <v>1970372</v>
      </c>
      <c r="E20" s="302" t="s">
        <v>155</v>
      </c>
      <c r="F20" s="308">
        <v>24</v>
      </c>
      <c r="G20" s="27">
        <v>3</v>
      </c>
      <c r="H20" s="27">
        <v>3</v>
      </c>
      <c r="I20" s="29">
        <v>48</v>
      </c>
      <c r="J20" s="33">
        <f t="shared" si="0"/>
        <v>144</v>
      </c>
      <c r="K20" s="367"/>
      <c r="L20" s="138"/>
      <c r="M20" s="136"/>
      <c r="N20" s="108"/>
      <c r="O20" s="233"/>
    </row>
    <row r="21" spans="1:15" s="207" customFormat="1" ht="21" customHeight="1" x14ac:dyDescent="0.25">
      <c r="A21" s="347">
        <v>18</v>
      </c>
      <c r="B21" s="395"/>
      <c r="C21" s="57">
        <v>8888626167893</v>
      </c>
      <c r="D21" s="299">
        <v>864174</v>
      </c>
      <c r="E21" s="48" t="s">
        <v>270</v>
      </c>
      <c r="F21" s="248">
        <v>8</v>
      </c>
      <c r="G21" s="27">
        <v>6.95</v>
      </c>
      <c r="H21" s="27">
        <v>6.95</v>
      </c>
      <c r="I21" s="29">
        <v>40</v>
      </c>
      <c r="J21" s="33">
        <f t="shared" si="0"/>
        <v>278</v>
      </c>
      <c r="K21" s="367"/>
      <c r="L21" s="138"/>
      <c r="M21" s="136"/>
      <c r="N21" s="108"/>
      <c r="O21" s="233"/>
    </row>
    <row r="22" spans="1:15" s="278" customFormat="1" ht="21" customHeight="1" x14ac:dyDescent="0.25">
      <c r="A22" s="347">
        <v>19</v>
      </c>
      <c r="B22" s="423" t="s">
        <v>119</v>
      </c>
      <c r="C22" s="57">
        <v>8888626143828</v>
      </c>
      <c r="D22" s="291">
        <v>513793</v>
      </c>
      <c r="E22" s="48" t="s">
        <v>108</v>
      </c>
      <c r="F22" s="248">
        <v>12</v>
      </c>
      <c r="G22" s="27">
        <v>4.95</v>
      </c>
      <c r="H22" s="27">
        <v>4.95</v>
      </c>
      <c r="I22" s="28">
        <v>48</v>
      </c>
      <c r="J22" s="33">
        <f t="shared" si="0"/>
        <v>237.60000000000002</v>
      </c>
      <c r="K22" s="367"/>
      <c r="L22" s="138"/>
      <c r="M22" s="136"/>
      <c r="N22" s="108"/>
      <c r="O22" s="233"/>
    </row>
    <row r="23" spans="1:15" s="298" customFormat="1" ht="21" customHeight="1" x14ac:dyDescent="0.25">
      <c r="A23" s="347">
        <v>20</v>
      </c>
      <c r="B23" s="423"/>
      <c r="C23" s="57">
        <v>8888626160191</v>
      </c>
      <c r="D23" s="291">
        <v>1908863</v>
      </c>
      <c r="E23" s="48" t="s">
        <v>255</v>
      </c>
      <c r="F23" s="248">
        <v>12</v>
      </c>
      <c r="G23" s="27">
        <v>3.8</v>
      </c>
      <c r="H23" s="27">
        <v>3.8</v>
      </c>
      <c r="I23" s="28">
        <v>36</v>
      </c>
      <c r="J23" s="33">
        <f t="shared" si="0"/>
        <v>136.79999999999998</v>
      </c>
      <c r="K23" s="367"/>
      <c r="L23" s="138"/>
      <c r="M23" s="136"/>
      <c r="N23" s="108"/>
      <c r="O23" s="233"/>
    </row>
    <row r="24" spans="1:15" s="251" customFormat="1" ht="21" customHeight="1" x14ac:dyDescent="0.25">
      <c r="A24" s="347">
        <v>21</v>
      </c>
      <c r="B24" s="424" t="s">
        <v>193</v>
      </c>
      <c r="C24" s="25">
        <v>8888626150321</v>
      </c>
      <c r="D24" s="293">
        <v>513918</v>
      </c>
      <c r="E24" s="99" t="s">
        <v>189</v>
      </c>
      <c r="F24" s="248">
        <v>12</v>
      </c>
      <c r="G24" s="27">
        <v>2.75</v>
      </c>
      <c r="H24" s="27">
        <v>2.75</v>
      </c>
      <c r="I24" s="28">
        <v>72</v>
      </c>
      <c r="J24" s="33">
        <f t="shared" si="0"/>
        <v>198</v>
      </c>
      <c r="K24" s="367"/>
      <c r="L24" s="138"/>
      <c r="M24" s="136"/>
      <c r="N24" s="108"/>
      <c r="O24" s="233"/>
    </row>
    <row r="25" spans="1:15" s="98" customFormat="1" ht="21" customHeight="1" x14ac:dyDescent="0.25">
      <c r="A25" s="347">
        <v>22</v>
      </c>
      <c r="B25" s="425"/>
      <c r="C25" s="25">
        <v>8888626143699</v>
      </c>
      <c r="D25" s="293">
        <v>513696</v>
      </c>
      <c r="E25" s="99" t="s">
        <v>286</v>
      </c>
      <c r="F25" s="248">
        <v>8</v>
      </c>
      <c r="G25" s="27">
        <v>6.95</v>
      </c>
      <c r="H25" s="27">
        <v>6.95</v>
      </c>
      <c r="I25" s="28">
        <v>48</v>
      </c>
      <c r="J25" s="33">
        <f t="shared" si="0"/>
        <v>333.6</v>
      </c>
      <c r="K25" s="367"/>
      <c r="L25" s="138"/>
      <c r="M25" s="136"/>
      <c r="N25" s="108"/>
      <c r="O25" s="233"/>
    </row>
    <row r="26" spans="1:15" s="207" customFormat="1" ht="21" customHeight="1" x14ac:dyDescent="0.25">
      <c r="A26" s="347">
        <v>23</v>
      </c>
      <c r="B26" s="343" t="s">
        <v>304</v>
      </c>
      <c r="C26" s="25">
        <v>8888626169262</v>
      </c>
      <c r="D26" s="321">
        <v>9822185</v>
      </c>
      <c r="E26" s="99" t="s">
        <v>374</v>
      </c>
      <c r="F26" s="248">
        <v>20</v>
      </c>
      <c r="G26" s="27">
        <v>3</v>
      </c>
      <c r="H26" s="27">
        <v>3</v>
      </c>
      <c r="I26" s="29">
        <v>80</v>
      </c>
      <c r="J26" s="33">
        <f t="shared" si="0"/>
        <v>240</v>
      </c>
      <c r="K26" s="367"/>
      <c r="L26" s="138"/>
      <c r="M26" s="136"/>
      <c r="N26" s="108"/>
      <c r="O26" s="233"/>
    </row>
    <row r="27" spans="1:15" s="207" customFormat="1" ht="21" customHeight="1" x14ac:dyDescent="0.25">
      <c r="A27" s="347">
        <v>24</v>
      </c>
      <c r="B27" s="381" t="s">
        <v>396</v>
      </c>
      <c r="C27" s="25">
        <v>8888626160221</v>
      </c>
      <c r="D27" s="321">
        <v>954476</v>
      </c>
      <c r="E27" s="99" t="s">
        <v>302</v>
      </c>
      <c r="F27" s="248">
        <v>8</v>
      </c>
      <c r="G27" s="27">
        <v>2</v>
      </c>
      <c r="H27" s="27">
        <v>2</v>
      </c>
      <c r="I27" s="29">
        <v>48</v>
      </c>
      <c r="J27" s="33">
        <f t="shared" si="0"/>
        <v>96</v>
      </c>
      <c r="K27" s="367"/>
      <c r="L27" s="138"/>
      <c r="M27" s="136"/>
      <c r="N27" s="108"/>
      <c r="O27" s="233"/>
    </row>
    <row r="28" spans="1:15" s="177" customFormat="1" ht="21" customHeight="1" x14ac:dyDescent="0.25">
      <c r="A28" s="347">
        <v>25</v>
      </c>
      <c r="B28" s="382"/>
      <c r="C28" s="25">
        <v>8888626160238</v>
      </c>
      <c r="D28" s="321">
        <v>954475</v>
      </c>
      <c r="E28" s="99" t="s">
        <v>303</v>
      </c>
      <c r="F28" s="248">
        <v>10</v>
      </c>
      <c r="G28" s="27">
        <v>2.5</v>
      </c>
      <c r="H28" s="27">
        <v>2.5</v>
      </c>
      <c r="I28" s="29">
        <v>30</v>
      </c>
      <c r="J28" s="33">
        <f t="shared" si="0"/>
        <v>75</v>
      </c>
      <c r="K28" s="367"/>
      <c r="L28" s="138"/>
      <c r="M28" s="136"/>
      <c r="N28" s="108"/>
      <c r="O28" s="233"/>
    </row>
    <row r="29" spans="1:15" s="177" customFormat="1" ht="21" customHeight="1" x14ac:dyDescent="0.25">
      <c r="A29" s="347">
        <v>26</v>
      </c>
      <c r="B29" s="343" t="s">
        <v>207</v>
      </c>
      <c r="C29" s="25">
        <v>8888626140681</v>
      </c>
      <c r="D29" s="293">
        <v>1908189</v>
      </c>
      <c r="E29" s="99" t="s">
        <v>222</v>
      </c>
      <c r="F29" s="248">
        <v>8</v>
      </c>
      <c r="G29" s="27">
        <v>6.3</v>
      </c>
      <c r="H29" s="27">
        <v>6.3</v>
      </c>
      <c r="I29" s="29">
        <v>24</v>
      </c>
      <c r="J29" s="33">
        <f t="shared" si="0"/>
        <v>151.19999999999999</v>
      </c>
      <c r="K29" s="367"/>
      <c r="L29" s="138"/>
      <c r="M29" s="136"/>
      <c r="N29" s="108"/>
      <c r="O29" s="233"/>
    </row>
    <row r="30" spans="1:15" s="177" customFormat="1" ht="21" customHeight="1" x14ac:dyDescent="0.25">
      <c r="A30" s="347">
        <v>27</v>
      </c>
      <c r="B30" s="422" t="s">
        <v>167</v>
      </c>
      <c r="C30" s="25">
        <v>8888626175195</v>
      </c>
      <c r="D30" s="293">
        <v>864255</v>
      </c>
      <c r="E30" s="240" t="s">
        <v>371</v>
      </c>
      <c r="F30" s="248">
        <v>4</v>
      </c>
      <c r="G30" s="27">
        <v>15</v>
      </c>
      <c r="H30" s="27">
        <v>15</v>
      </c>
      <c r="I30" s="29">
        <v>12</v>
      </c>
      <c r="J30" s="33">
        <f t="shared" si="0"/>
        <v>180</v>
      </c>
      <c r="K30" s="367"/>
      <c r="L30" s="138"/>
      <c r="M30" s="136"/>
      <c r="N30" s="108"/>
      <c r="O30" s="233"/>
    </row>
    <row r="31" spans="1:15" s="177" customFormat="1" ht="21" customHeight="1" x14ac:dyDescent="0.25">
      <c r="A31" s="347">
        <v>28</v>
      </c>
      <c r="B31" s="422"/>
      <c r="C31" s="25">
        <v>8888626175201</v>
      </c>
      <c r="D31" s="293">
        <v>864256</v>
      </c>
      <c r="E31" s="240" t="s">
        <v>372</v>
      </c>
      <c r="F31" s="248">
        <v>4</v>
      </c>
      <c r="G31" s="27">
        <v>15</v>
      </c>
      <c r="H31" s="27">
        <v>15</v>
      </c>
      <c r="I31" s="29">
        <v>28</v>
      </c>
      <c r="J31" s="33">
        <f t="shared" si="0"/>
        <v>420</v>
      </c>
      <c r="K31" s="367"/>
      <c r="L31" s="136"/>
      <c r="M31" s="136"/>
      <c r="N31" s="108"/>
      <c r="O31" s="233"/>
    </row>
    <row r="32" spans="1:15" s="177" customFormat="1" ht="21" customHeight="1" x14ac:dyDescent="0.25">
      <c r="A32" s="347">
        <v>29</v>
      </c>
      <c r="B32" s="422"/>
      <c r="C32" s="25">
        <v>8888626175218</v>
      </c>
      <c r="D32" s="293">
        <v>864257</v>
      </c>
      <c r="E32" s="240" t="s">
        <v>373</v>
      </c>
      <c r="F32" s="248">
        <v>4</v>
      </c>
      <c r="G32" s="27">
        <v>15</v>
      </c>
      <c r="H32" s="27">
        <v>15</v>
      </c>
      <c r="I32" s="29">
        <v>32</v>
      </c>
      <c r="J32" s="33">
        <f t="shared" si="0"/>
        <v>480</v>
      </c>
      <c r="K32" s="367"/>
      <c r="L32" s="136"/>
      <c r="M32" s="136"/>
      <c r="N32" s="108"/>
      <c r="O32" s="233"/>
    </row>
    <row r="33" spans="1:15" s="153" customFormat="1" ht="21" customHeight="1" x14ac:dyDescent="0.25">
      <c r="A33" s="347">
        <v>30</v>
      </c>
      <c r="B33" s="421" t="s">
        <v>367</v>
      </c>
      <c r="C33" s="25">
        <v>8888626160160</v>
      </c>
      <c r="D33" s="346">
        <v>1908804</v>
      </c>
      <c r="E33" s="240" t="s">
        <v>377</v>
      </c>
      <c r="F33" s="248">
        <v>6</v>
      </c>
      <c r="G33" s="27">
        <v>9.5</v>
      </c>
      <c r="H33" s="27">
        <v>9.5</v>
      </c>
      <c r="I33" s="29">
        <v>18</v>
      </c>
      <c r="J33" s="33">
        <f>I33*H33</f>
        <v>171</v>
      </c>
      <c r="K33" s="367"/>
      <c r="L33" s="136"/>
      <c r="M33" s="136"/>
      <c r="N33" s="108"/>
      <c r="O33" s="233"/>
    </row>
    <row r="34" spans="1:15" s="153" customFormat="1" ht="21" customHeight="1" x14ac:dyDescent="0.25">
      <c r="A34" s="347">
        <v>31</v>
      </c>
      <c r="B34" s="421"/>
      <c r="C34" s="25">
        <v>8888626160177</v>
      </c>
      <c r="D34" s="293">
        <v>1908803</v>
      </c>
      <c r="E34" s="209" t="s">
        <v>376</v>
      </c>
      <c r="F34" s="248">
        <v>6</v>
      </c>
      <c r="G34" s="27">
        <v>9.5</v>
      </c>
      <c r="H34" s="27">
        <v>9.5</v>
      </c>
      <c r="I34" s="29">
        <v>12</v>
      </c>
      <c r="J34" s="33">
        <f>I34*H34</f>
        <v>114</v>
      </c>
      <c r="K34" s="367"/>
      <c r="L34" s="108"/>
      <c r="M34" s="222"/>
      <c r="N34" s="108"/>
      <c r="O34" s="233"/>
    </row>
    <row r="35" spans="1:15" s="153" customFormat="1" ht="21" customHeight="1" x14ac:dyDescent="0.25">
      <c r="A35" s="347">
        <v>32</v>
      </c>
      <c r="B35" s="421"/>
      <c r="C35" s="25">
        <v>8888626160184</v>
      </c>
      <c r="D35" s="296">
        <v>1908802</v>
      </c>
      <c r="E35" s="341" t="s">
        <v>375</v>
      </c>
      <c r="F35" s="248">
        <v>6</v>
      </c>
      <c r="G35" s="27">
        <v>9.5</v>
      </c>
      <c r="H35" s="27">
        <v>9.5</v>
      </c>
      <c r="I35" s="29">
        <v>18</v>
      </c>
      <c r="J35" s="33">
        <f t="shared" si="0"/>
        <v>171</v>
      </c>
      <c r="K35" s="367"/>
      <c r="L35" s="108"/>
      <c r="M35" s="222"/>
      <c r="N35" s="108"/>
      <c r="O35" s="233"/>
    </row>
    <row r="36" spans="1:15" s="122" customFormat="1" ht="21" customHeight="1" x14ac:dyDescent="0.25">
      <c r="A36" s="347">
        <v>33</v>
      </c>
      <c r="B36" s="421"/>
      <c r="C36" s="25" t="s">
        <v>44</v>
      </c>
      <c r="D36" s="293">
        <v>1904953</v>
      </c>
      <c r="E36" s="240" t="s">
        <v>110</v>
      </c>
      <c r="F36" s="248">
        <v>12</v>
      </c>
      <c r="G36" s="27">
        <v>5.5</v>
      </c>
      <c r="H36" s="27">
        <v>5.5</v>
      </c>
      <c r="I36" s="28">
        <v>48</v>
      </c>
      <c r="J36" s="33">
        <f t="shared" si="0"/>
        <v>264</v>
      </c>
      <c r="K36" s="367"/>
      <c r="L36" s="108"/>
      <c r="M36" s="222"/>
      <c r="N36" s="108"/>
      <c r="O36" s="233"/>
    </row>
    <row r="37" spans="1:15" s="122" customFormat="1" ht="21" customHeight="1" x14ac:dyDescent="0.25">
      <c r="A37" s="347">
        <v>34</v>
      </c>
      <c r="B37" s="421"/>
      <c r="C37" s="25" t="s">
        <v>45</v>
      </c>
      <c r="D37" s="234">
        <v>1904952</v>
      </c>
      <c r="E37" s="240" t="s">
        <v>111</v>
      </c>
      <c r="F37" s="111">
        <v>12</v>
      </c>
      <c r="G37" s="27">
        <v>5.5</v>
      </c>
      <c r="H37" s="27">
        <v>5.5</v>
      </c>
      <c r="I37" s="28">
        <v>24</v>
      </c>
      <c r="J37" s="33">
        <f t="shared" si="0"/>
        <v>132</v>
      </c>
      <c r="K37" s="367"/>
      <c r="L37" s="108"/>
      <c r="M37" s="222"/>
      <c r="N37" s="108"/>
      <c r="O37" s="233"/>
    </row>
    <row r="38" spans="1:15" s="109" customFormat="1" ht="21" customHeight="1" x14ac:dyDescent="0.25">
      <c r="A38" s="372" t="s">
        <v>16</v>
      </c>
      <c r="B38" s="419"/>
      <c r="C38" s="419"/>
      <c r="D38" s="419"/>
      <c r="E38" s="420"/>
      <c r="F38" s="420"/>
      <c r="G38" s="420"/>
      <c r="H38" s="420"/>
      <c r="I38" s="369"/>
      <c r="J38" s="16">
        <f>SUM(J4:J37)</f>
        <v>17577.600000000002</v>
      </c>
      <c r="K38" s="108"/>
      <c r="L38" s="222"/>
      <c r="M38" s="108"/>
      <c r="N38" s="108"/>
    </row>
    <row r="39" spans="1:15" s="72" customFormat="1" ht="21" customHeight="1" x14ac:dyDescent="0.25">
      <c r="A39" s="11"/>
      <c r="B39" s="12"/>
      <c r="C39" s="12"/>
      <c r="D39" s="12"/>
      <c r="E39" s="10"/>
      <c r="F39" s="11"/>
      <c r="G39" s="10"/>
      <c r="H39" s="11"/>
      <c r="I39" s="5"/>
      <c r="J39" s="19"/>
      <c r="K39" s="108"/>
      <c r="L39" s="108"/>
      <c r="M39" s="108"/>
      <c r="N39" s="108"/>
    </row>
    <row r="40" spans="1:15" s="122" customFormat="1" ht="21" customHeight="1" x14ac:dyDescent="0.25">
      <c r="A40" s="11"/>
      <c r="B40" s="12"/>
      <c r="C40" s="12"/>
      <c r="D40" s="12"/>
      <c r="E40" s="10"/>
      <c r="F40" s="11"/>
      <c r="G40" s="10"/>
      <c r="H40" s="11"/>
      <c r="I40" s="5"/>
      <c r="J40" s="19"/>
      <c r="K40" s="108"/>
      <c r="L40" s="108"/>
      <c r="M40" s="108"/>
      <c r="N40" s="108"/>
    </row>
    <row r="41" spans="1:15" s="122" customFormat="1" ht="21" customHeight="1" x14ac:dyDescent="0.25">
      <c r="A41" s="11"/>
      <c r="B41" s="12"/>
      <c r="C41" s="12"/>
      <c r="D41" s="12"/>
      <c r="E41" s="10"/>
      <c r="F41" s="11"/>
      <c r="G41" s="10"/>
      <c r="H41" s="11"/>
      <c r="I41" s="5"/>
      <c r="J41" s="19"/>
      <c r="K41" s="108"/>
      <c r="L41" s="108"/>
      <c r="M41" s="108"/>
      <c r="N41" s="108"/>
    </row>
    <row r="42" spans="1:15" s="72" customFormat="1" ht="21" customHeight="1" x14ac:dyDescent="0.25">
      <c r="A42" s="11"/>
      <c r="B42" s="12"/>
      <c r="C42" s="12"/>
      <c r="D42" s="12"/>
      <c r="E42" s="10"/>
      <c r="F42" s="11"/>
      <c r="G42" s="10"/>
      <c r="H42" s="11"/>
      <c r="I42" s="5"/>
      <c r="J42" s="19"/>
      <c r="K42" s="108"/>
      <c r="L42" s="108"/>
      <c r="M42" s="108"/>
      <c r="N42" s="108"/>
    </row>
    <row r="43" spans="1:15" ht="21" customHeight="1" x14ac:dyDescent="0.25">
      <c r="A43" s="11"/>
      <c r="B43" s="12"/>
      <c r="C43" s="12"/>
      <c r="D43" s="12"/>
      <c r="E43" s="10"/>
      <c r="F43" s="11"/>
      <c r="G43" s="10"/>
      <c r="H43" s="11"/>
      <c r="I43" s="5"/>
      <c r="J43" s="19"/>
    </row>
    <row r="44" spans="1:15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19"/>
    </row>
    <row r="45" spans="1:15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19"/>
    </row>
    <row r="46" spans="1:15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9"/>
    </row>
    <row r="47" spans="1:15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19"/>
    </row>
    <row r="48" spans="1:15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9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9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9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9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9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9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9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9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9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9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9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9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9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9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9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9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9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9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9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9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9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9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9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9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9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9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9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9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9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9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9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9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9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9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9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9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9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9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9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9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9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9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9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9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9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9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9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9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9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9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9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9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19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19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19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19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19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19"/>
    </row>
    <row r="106" spans="1:10" ht="21" customHeight="1" x14ac:dyDescent="0.25">
      <c r="A106" s="11"/>
      <c r="B106" s="12"/>
      <c r="C106" s="12"/>
      <c r="D106" s="12"/>
      <c r="E106" s="10"/>
      <c r="F106" s="11"/>
      <c r="G106" s="10"/>
      <c r="H106" s="11"/>
      <c r="I106" s="5"/>
      <c r="J106" s="19"/>
    </row>
    <row r="107" spans="1:10" ht="21" customHeight="1" x14ac:dyDescent="0.25">
      <c r="A107" s="11"/>
      <c r="B107" s="12"/>
      <c r="C107" s="12"/>
      <c r="D107" s="12"/>
      <c r="E107" s="10"/>
      <c r="F107" s="11"/>
      <c r="G107" s="10"/>
      <c r="H107" s="11"/>
      <c r="I107" s="5"/>
      <c r="J107" s="19"/>
    </row>
    <row r="108" spans="1:10" ht="21" customHeight="1" x14ac:dyDescent="0.25">
      <c r="A108" s="11"/>
      <c r="B108" s="12"/>
      <c r="C108" s="12"/>
      <c r="D108" s="12"/>
      <c r="E108" s="10"/>
      <c r="F108" s="11"/>
      <c r="G108" s="10"/>
      <c r="H108" s="11"/>
      <c r="I108" s="5"/>
      <c r="J108" s="19"/>
    </row>
  </sheetData>
  <mergeCells count="11">
    <mergeCell ref="B4:B8"/>
    <mergeCell ref="B9:B17"/>
    <mergeCell ref="I1:J1"/>
    <mergeCell ref="B1:H1"/>
    <mergeCell ref="A38:I38"/>
    <mergeCell ref="B33:B37"/>
    <mergeCell ref="B30:B32"/>
    <mergeCell ref="B22:B23"/>
    <mergeCell ref="B18:B21"/>
    <mergeCell ref="B27:B28"/>
    <mergeCell ref="B24:B25"/>
  </mergeCells>
  <printOptions horizontalCentered="1"/>
  <pageMargins left="0.2" right="0.2" top="0.2" bottom="0.2" header="0" footer="0"/>
  <pageSetup paperSize="9" scale="6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2064-5961-4367-B2C8-C1C708D5126E}">
  <sheetPr>
    <pageSetUpPr fitToPage="1"/>
  </sheetPr>
  <dimension ref="A1:O107"/>
  <sheetViews>
    <sheetView tabSelected="1" topLeftCell="A19" zoomScale="85" zoomScaleNormal="85" workbookViewId="0">
      <selection activeCell="E31" sqref="E31"/>
    </sheetView>
  </sheetViews>
  <sheetFormatPr defaultColWidth="14.42578125" defaultRowHeight="21" customHeight="1" x14ac:dyDescent="0.25"/>
  <cols>
    <col min="1" max="1" width="6.7109375" style="1" customWidth="1"/>
    <col min="2" max="2" width="20.7109375" style="1" customWidth="1"/>
    <col min="3" max="3" width="23.140625" style="1" customWidth="1"/>
    <col min="4" max="4" width="10.7109375" style="1" customWidth="1"/>
    <col min="5" max="5" width="65" style="1" bestFit="1" customWidth="1"/>
    <col min="6" max="6" width="11.7109375" style="4" customWidth="1"/>
    <col min="7" max="10" width="12.7109375" style="1" customWidth="1"/>
    <col min="11" max="11" width="14" style="108" customWidth="1"/>
    <col min="12" max="12" width="16.28515625" style="108" customWidth="1"/>
    <col min="13" max="13" width="16.28515625" style="1" customWidth="1"/>
    <col min="14" max="14" width="14" style="108" customWidth="1"/>
    <col min="15" max="16384" width="14.42578125" style="1"/>
  </cols>
  <sheetData>
    <row r="1" spans="1:15" ht="21" customHeight="1" x14ac:dyDescent="0.25">
      <c r="A1" s="1" t="s">
        <v>0</v>
      </c>
      <c r="B1" s="379" t="s">
        <v>14</v>
      </c>
      <c r="C1" s="380"/>
      <c r="D1" s="380"/>
      <c r="E1" s="380"/>
      <c r="F1" s="380"/>
      <c r="G1" s="380"/>
      <c r="H1" s="380"/>
      <c r="I1" s="386">
        <f>Summary!D2</f>
        <v>46131</v>
      </c>
      <c r="J1" s="380"/>
    </row>
    <row r="2" spans="1:15" ht="21" customHeight="1" x14ac:dyDescent="0.25">
      <c r="B2" s="2"/>
      <c r="C2" s="2"/>
      <c r="D2" s="143"/>
      <c r="E2" s="144"/>
      <c r="F2" s="145"/>
      <c r="G2" s="144"/>
      <c r="H2" s="145"/>
      <c r="I2" s="146"/>
      <c r="J2" s="18"/>
    </row>
    <row r="3" spans="1:15" ht="42" customHeight="1" x14ac:dyDescent="0.25">
      <c r="A3" s="50" t="s">
        <v>30</v>
      </c>
      <c r="B3" s="50" t="s">
        <v>17</v>
      </c>
      <c r="C3" s="147" t="s">
        <v>18</v>
      </c>
      <c r="D3" s="49" t="s">
        <v>19</v>
      </c>
      <c r="E3" s="148" t="s">
        <v>20</v>
      </c>
      <c r="F3" s="141" t="s">
        <v>55</v>
      </c>
      <c r="G3" s="141" t="s">
        <v>21</v>
      </c>
      <c r="H3" s="49" t="s">
        <v>22</v>
      </c>
      <c r="I3" s="149" t="s">
        <v>23</v>
      </c>
      <c r="J3" s="49" t="s">
        <v>24</v>
      </c>
      <c r="K3" s="303"/>
      <c r="L3" s="303"/>
      <c r="M3" s="339"/>
      <c r="N3" s="4"/>
    </row>
    <row r="4" spans="1:15" ht="21" customHeight="1" x14ac:dyDescent="0.25">
      <c r="A4" s="68">
        <v>1</v>
      </c>
      <c r="B4" s="132" t="s">
        <v>90</v>
      </c>
      <c r="C4" s="291" t="s">
        <v>47</v>
      </c>
      <c r="D4" s="291">
        <v>513049</v>
      </c>
      <c r="E4" s="48" t="s">
        <v>64</v>
      </c>
      <c r="F4" s="292">
        <v>6</v>
      </c>
      <c r="G4" s="36">
        <v>2.5499999999999998</v>
      </c>
      <c r="H4" s="36">
        <v>2.5499999999999998</v>
      </c>
      <c r="I4" s="271">
        <v>48</v>
      </c>
      <c r="J4" s="133">
        <f t="shared" ref="J4:J41" si="0">I4*H4</f>
        <v>122.39999999999999</v>
      </c>
      <c r="M4" s="108"/>
      <c r="O4" s="233"/>
    </row>
    <row r="5" spans="1:15" ht="21" customHeight="1" x14ac:dyDescent="0.25">
      <c r="A5" s="68">
        <v>2</v>
      </c>
      <c r="B5" s="396" t="s">
        <v>396</v>
      </c>
      <c r="C5" s="25">
        <v>8888626086606</v>
      </c>
      <c r="D5" s="293">
        <v>512966</v>
      </c>
      <c r="E5" s="99" t="s">
        <v>61</v>
      </c>
      <c r="F5" s="248">
        <v>3</v>
      </c>
      <c r="G5" s="27">
        <v>6.99</v>
      </c>
      <c r="H5" s="27">
        <v>6.99</v>
      </c>
      <c r="I5" s="28">
        <v>18</v>
      </c>
      <c r="J5" s="33">
        <f t="shared" si="0"/>
        <v>125.82000000000001</v>
      </c>
      <c r="M5" s="108"/>
      <c r="O5" s="233"/>
    </row>
    <row r="6" spans="1:15" s="127" customFormat="1" ht="21" customHeight="1" x14ac:dyDescent="0.25">
      <c r="A6" s="68">
        <v>3</v>
      </c>
      <c r="B6" s="410"/>
      <c r="C6" s="25">
        <v>8888626093604</v>
      </c>
      <c r="D6" s="293">
        <v>513043</v>
      </c>
      <c r="E6" s="99" t="s">
        <v>132</v>
      </c>
      <c r="F6" s="248">
        <v>15</v>
      </c>
      <c r="G6" s="27">
        <v>2.2000000000000002</v>
      </c>
      <c r="H6" s="27">
        <v>2.2000000000000002</v>
      </c>
      <c r="I6" s="28">
        <v>15</v>
      </c>
      <c r="J6" s="33">
        <f t="shared" si="0"/>
        <v>33</v>
      </c>
      <c r="K6" s="108"/>
      <c r="L6" s="108"/>
      <c r="M6" s="108"/>
      <c r="N6" s="108"/>
      <c r="O6" s="233"/>
    </row>
    <row r="7" spans="1:15" s="95" customFormat="1" ht="21" customHeight="1" x14ac:dyDescent="0.25">
      <c r="A7" s="308">
        <v>4</v>
      </c>
      <c r="B7" s="410"/>
      <c r="C7" s="25">
        <v>8888626149981</v>
      </c>
      <c r="D7" s="293">
        <v>513899</v>
      </c>
      <c r="E7" s="99" t="s">
        <v>288</v>
      </c>
      <c r="F7" s="248">
        <v>4</v>
      </c>
      <c r="G7" s="27">
        <v>7.95</v>
      </c>
      <c r="H7" s="27">
        <v>7.95</v>
      </c>
      <c r="I7" s="28">
        <v>12</v>
      </c>
      <c r="J7" s="133">
        <f t="shared" si="0"/>
        <v>95.4</v>
      </c>
      <c r="K7" s="108"/>
      <c r="L7" s="108"/>
      <c r="M7" s="108"/>
      <c r="N7" s="108"/>
      <c r="O7" s="233"/>
    </row>
    <row r="8" spans="1:15" s="247" customFormat="1" ht="21" customHeight="1" x14ac:dyDescent="0.25">
      <c r="A8" s="308">
        <v>5</v>
      </c>
      <c r="B8" s="410"/>
      <c r="C8" s="25">
        <v>8888626150000</v>
      </c>
      <c r="D8" s="293">
        <v>513901</v>
      </c>
      <c r="E8" s="99" t="s">
        <v>287</v>
      </c>
      <c r="F8" s="248">
        <v>4</v>
      </c>
      <c r="G8" s="27">
        <v>7.95</v>
      </c>
      <c r="H8" s="27">
        <v>7.95</v>
      </c>
      <c r="I8" s="28">
        <v>20</v>
      </c>
      <c r="J8" s="133">
        <f t="shared" si="0"/>
        <v>159</v>
      </c>
      <c r="K8" s="108"/>
      <c r="L8" s="108"/>
      <c r="M8" s="108"/>
      <c r="N8" s="108"/>
      <c r="O8" s="233"/>
    </row>
    <row r="9" spans="1:15" s="298" customFormat="1" ht="21" customHeight="1" x14ac:dyDescent="0.25">
      <c r="A9" s="308">
        <v>6</v>
      </c>
      <c r="B9" s="410"/>
      <c r="C9" s="25">
        <v>8888626150024</v>
      </c>
      <c r="D9" s="301">
        <v>513903</v>
      </c>
      <c r="E9" s="99" t="s">
        <v>289</v>
      </c>
      <c r="F9" s="248">
        <v>8</v>
      </c>
      <c r="G9" s="27">
        <v>3.3</v>
      </c>
      <c r="H9" s="27">
        <v>3.3</v>
      </c>
      <c r="I9" s="28">
        <v>16</v>
      </c>
      <c r="J9" s="133">
        <f t="shared" si="0"/>
        <v>52.8</v>
      </c>
      <c r="K9" s="108"/>
      <c r="L9" s="108"/>
      <c r="M9" s="108"/>
      <c r="N9" s="108"/>
      <c r="O9" s="233"/>
    </row>
    <row r="10" spans="1:15" s="298" customFormat="1" ht="21" customHeight="1" x14ac:dyDescent="0.25">
      <c r="A10" s="308">
        <v>7</v>
      </c>
      <c r="B10" s="410"/>
      <c r="C10" s="25">
        <v>8888626150031</v>
      </c>
      <c r="D10" s="301">
        <v>513904</v>
      </c>
      <c r="E10" s="99" t="s">
        <v>307</v>
      </c>
      <c r="F10" s="248">
        <v>8</v>
      </c>
      <c r="G10" s="27">
        <v>3.3</v>
      </c>
      <c r="H10" s="27">
        <v>3.3</v>
      </c>
      <c r="I10" s="28">
        <v>24</v>
      </c>
      <c r="J10" s="133">
        <f t="shared" si="0"/>
        <v>79.199999999999989</v>
      </c>
      <c r="K10" s="108"/>
      <c r="L10" s="108"/>
      <c r="M10" s="108"/>
      <c r="N10" s="108"/>
      <c r="O10" s="233"/>
    </row>
    <row r="11" spans="1:15" s="247" customFormat="1" ht="21" customHeight="1" x14ac:dyDescent="0.25">
      <c r="A11" s="308">
        <v>8</v>
      </c>
      <c r="B11" s="410"/>
      <c r="C11" s="117">
        <v>8888626168739</v>
      </c>
      <c r="D11" s="287">
        <v>514338</v>
      </c>
      <c r="E11" s="302" t="s">
        <v>271</v>
      </c>
      <c r="F11" s="308">
        <v>8</v>
      </c>
      <c r="G11" s="27">
        <v>14.45</v>
      </c>
      <c r="H11" s="27">
        <v>14.45</v>
      </c>
      <c r="I11" s="28">
        <v>40</v>
      </c>
      <c r="J11" s="133">
        <f t="shared" si="0"/>
        <v>578</v>
      </c>
      <c r="K11" s="108"/>
      <c r="L11" s="108"/>
      <c r="M11" s="108"/>
      <c r="N11" s="108"/>
      <c r="O11" s="233"/>
    </row>
    <row r="12" spans="1:15" s="97" customFormat="1" ht="21" customHeight="1" x14ac:dyDescent="0.25">
      <c r="A12" s="308">
        <v>9</v>
      </c>
      <c r="B12" s="410"/>
      <c r="C12" s="25">
        <v>8888626167879</v>
      </c>
      <c r="D12" s="346">
        <v>514205</v>
      </c>
      <c r="E12" s="99" t="s">
        <v>393</v>
      </c>
      <c r="F12" s="248">
        <v>8</v>
      </c>
      <c r="G12" s="304">
        <v>8.9499999999999993</v>
      </c>
      <c r="H12" s="304">
        <v>8.9499999999999993</v>
      </c>
      <c r="I12" s="28">
        <v>120</v>
      </c>
      <c r="J12" s="133">
        <f t="shared" si="0"/>
        <v>1074</v>
      </c>
      <c r="K12" s="108"/>
      <c r="L12" s="108"/>
      <c r="M12" s="108"/>
      <c r="N12" s="108"/>
      <c r="O12" s="233"/>
    </row>
    <row r="13" spans="1:15" s="195" customFormat="1" ht="21" customHeight="1" x14ac:dyDescent="0.25">
      <c r="A13" s="308">
        <v>10</v>
      </c>
      <c r="B13" s="410"/>
      <c r="C13" s="25">
        <v>8888626167886</v>
      </c>
      <c r="D13" s="293">
        <v>514206</v>
      </c>
      <c r="E13" s="99" t="s">
        <v>394</v>
      </c>
      <c r="F13" s="248">
        <v>8</v>
      </c>
      <c r="G13" s="304">
        <v>8.9499999999999993</v>
      </c>
      <c r="H13" s="304">
        <v>8.9499999999999993</v>
      </c>
      <c r="I13" s="28">
        <v>144</v>
      </c>
      <c r="J13" s="133">
        <f t="shared" si="0"/>
        <v>1288.8</v>
      </c>
      <c r="K13" s="108"/>
      <c r="L13" s="108"/>
      <c r="M13" s="108"/>
      <c r="N13" s="108"/>
      <c r="O13" s="233"/>
    </row>
    <row r="14" spans="1:15" s="278" customFormat="1" ht="21" customHeight="1" x14ac:dyDescent="0.25">
      <c r="A14" s="308">
        <v>11</v>
      </c>
      <c r="B14" s="397"/>
      <c r="C14" s="25">
        <v>8888626117737</v>
      </c>
      <c r="D14" s="293">
        <v>513281</v>
      </c>
      <c r="E14" s="99" t="s">
        <v>102</v>
      </c>
      <c r="F14" s="248">
        <v>6</v>
      </c>
      <c r="G14" s="27">
        <v>2.35</v>
      </c>
      <c r="H14" s="27">
        <v>2.35</v>
      </c>
      <c r="I14" s="28">
        <v>18</v>
      </c>
      <c r="J14" s="133">
        <f t="shared" si="0"/>
        <v>42.300000000000004</v>
      </c>
      <c r="K14" s="108"/>
      <c r="L14" s="108"/>
      <c r="M14" s="108"/>
      <c r="N14" s="108"/>
      <c r="O14" s="233"/>
    </row>
    <row r="15" spans="1:15" s="160" customFormat="1" ht="21" customHeight="1" x14ac:dyDescent="0.25">
      <c r="A15" s="308">
        <v>12</v>
      </c>
      <c r="B15" s="396" t="s">
        <v>171</v>
      </c>
      <c r="C15" s="293" t="s">
        <v>48</v>
      </c>
      <c r="D15" s="293">
        <v>513052</v>
      </c>
      <c r="E15" s="99" t="s">
        <v>79</v>
      </c>
      <c r="F15" s="248">
        <v>4</v>
      </c>
      <c r="G15" s="27">
        <v>4.05</v>
      </c>
      <c r="H15" s="27">
        <v>4.05</v>
      </c>
      <c r="I15" s="28">
        <v>72</v>
      </c>
      <c r="J15" s="133">
        <f t="shared" si="0"/>
        <v>291.59999999999997</v>
      </c>
      <c r="K15" s="108"/>
      <c r="L15" s="108"/>
      <c r="M15" s="108"/>
      <c r="N15" s="108"/>
      <c r="O15" s="233"/>
    </row>
    <row r="16" spans="1:15" s="160" customFormat="1" ht="21" customHeight="1" x14ac:dyDescent="0.25">
      <c r="A16" s="308">
        <v>13</v>
      </c>
      <c r="B16" s="410"/>
      <c r="C16" s="119" t="s">
        <v>319</v>
      </c>
      <c r="D16" s="293">
        <v>513896</v>
      </c>
      <c r="E16" s="99" t="s">
        <v>309</v>
      </c>
      <c r="F16" s="248">
        <v>6</v>
      </c>
      <c r="G16" s="27">
        <v>5.5</v>
      </c>
      <c r="H16" s="27">
        <v>5.5</v>
      </c>
      <c r="I16" s="28">
        <v>96</v>
      </c>
      <c r="J16" s="33">
        <f t="shared" si="0"/>
        <v>528</v>
      </c>
      <c r="K16" s="108"/>
      <c r="L16" s="108"/>
      <c r="M16" s="108"/>
      <c r="N16" s="108"/>
      <c r="O16" s="233"/>
    </row>
    <row r="17" spans="1:15" s="177" customFormat="1" ht="24.6" customHeight="1" x14ac:dyDescent="0.25">
      <c r="A17" s="308">
        <v>14</v>
      </c>
      <c r="B17" s="397"/>
      <c r="C17" s="297">
        <v>8888626110059</v>
      </c>
      <c r="D17" s="293">
        <v>513218</v>
      </c>
      <c r="E17" s="99" t="s">
        <v>379</v>
      </c>
      <c r="F17" s="248">
        <v>6</v>
      </c>
      <c r="G17" s="27">
        <v>4.6500000000000004</v>
      </c>
      <c r="H17" s="27">
        <v>4.6500000000000004</v>
      </c>
      <c r="I17" s="346">
        <v>120</v>
      </c>
      <c r="J17" s="33">
        <f t="shared" si="0"/>
        <v>558</v>
      </c>
      <c r="K17" s="108"/>
      <c r="L17" s="108"/>
      <c r="M17" s="108"/>
      <c r="N17" s="108"/>
      <c r="O17" s="233"/>
    </row>
    <row r="18" spans="1:15" ht="21" customHeight="1" x14ac:dyDescent="0.25">
      <c r="A18" s="308">
        <v>15</v>
      </c>
      <c r="B18" s="201" t="s">
        <v>82</v>
      </c>
      <c r="C18" s="25">
        <v>8888626138572</v>
      </c>
      <c r="D18" s="293">
        <v>1970374</v>
      </c>
      <c r="E18" s="99" t="s">
        <v>63</v>
      </c>
      <c r="F18" s="248">
        <v>6</v>
      </c>
      <c r="G18" s="27">
        <v>6.5</v>
      </c>
      <c r="H18" s="27">
        <v>6.5</v>
      </c>
      <c r="I18" s="28">
        <v>36</v>
      </c>
      <c r="J18" s="33">
        <f t="shared" si="0"/>
        <v>234</v>
      </c>
      <c r="M18" s="108"/>
      <c r="O18" s="233"/>
    </row>
    <row r="19" spans="1:15" s="69" customFormat="1" ht="34.15" customHeight="1" x14ac:dyDescent="0.25">
      <c r="A19" s="308">
        <v>16</v>
      </c>
      <c r="B19" s="140" t="s">
        <v>83</v>
      </c>
      <c r="C19" s="25">
        <v>8888626092591</v>
      </c>
      <c r="D19" s="293">
        <v>513023</v>
      </c>
      <c r="E19" s="99" t="s">
        <v>71</v>
      </c>
      <c r="F19" s="248">
        <v>6</v>
      </c>
      <c r="G19" s="27">
        <v>3.95</v>
      </c>
      <c r="H19" s="27">
        <v>3.95</v>
      </c>
      <c r="I19" s="28">
        <v>18</v>
      </c>
      <c r="J19" s="133">
        <f t="shared" si="0"/>
        <v>71.100000000000009</v>
      </c>
      <c r="K19" s="108"/>
      <c r="L19" s="108"/>
      <c r="M19" s="108"/>
      <c r="N19" s="108"/>
      <c r="O19" s="233"/>
    </row>
    <row r="20" spans="1:15" s="122" customFormat="1" ht="39" customHeight="1" x14ac:dyDescent="0.25">
      <c r="A20" s="308">
        <v>17</v>
      </c>
      <c r="B20" s="181" t="s">
        <v>158</v>
      </c>
      <c r="C20" s="25">
        <v>8888626143781</v>
      </c>
      <c r="D20" s="293">
        <v>953784</v>
      </c>
      <c r="E20" s="99" t="s">
        <v>134</v>
      </c>
      <c r="F20" s="248">
        <v>18</v>
      </c>
      <c r="G20" s="27">
        <v>2.5</v>
      </c>
      <c r="H20" s="27">
        <v>2.5</v>
      </c>
      <c r="I20" s="28">
        <v>36</v>
      </c>
      <c r="J20" s="133">
        <f t="shared" si="0"/>
        <v>90</v>
      </c>
      <c r="K20" s="108"/>
      <c r="L20" s="108"/>
      <c r="M20" s="108"/>
      <c r="N20" s="108"/>
      <c r="O20" s="233"/>
    </row>
    <row r="21" spans="1:15" s="175" customFormat="1" ht="26.45" customHeight="1" x14ac:dyDescent="0.25">
      <c r="A21" s="308">
        <v>18</v>
      </c>
      <c r="B21" s="180" t="s">
        <v>177</v>
      </c>
      <c r="C21" s="25">
        <v>8888626142869</v>
      </c>
      <c r="D21" s="293">
        <v>513674</v>
      </c>
      <c r="E21" s="99" t="s">
        <v>161</v>
      </c>
      <c r="F21" s="248">
        <v>4</v>
      </c>
      <c r="G21" s="27">
        <v>6.6</v>
      </c>
      <c r="H21" s="27">
        <v>6.6</v>
      </c>
      <c r="I21" s="28">
        <v>28</v>
      </c>
      <c r="J21" s="133">
        <f>I21*H21</f>
        <v>184.79999999999998</v>
      </c>
      <c r="K21" s="108"/>
      <c r="L21" s="108"/>
      <c r="M21" s="108"/>
      <c r="N21" s="108"/>
      <c r="O21" s="233"/>
    </row>
    <row r="22" spans="1:15" s="165" customFormat="1" ht="21" customHeight="1" x14ac:dyDescent="0.25">
      <c r="A22" s="308">
        <v>19</v>
      </c>
      <c r="B22" s="430" t="s">
        <v>121</v>
      </c>
      <c r="C22" s="25">
        <v>8888626168753</v>
      </c>
      <c r="D22" s="301">
        <v>514340</v>
      </c>
      <c r="E22" s="99" t="s">
        <v>380</v>
      </c>
      <c r="F22" s="248">
        <v>6</v>
      </c>
      <c r="G22" s="27">
        <v>4.3499999999999996</v>
      </c>
      <c r="H22" s="27">
        <v>4.3499999999999996</v>
      </c>
      <c r="I22" s="28">
        <v>12</v>
      </c>
      <c r="J22" s="133">
        <f t="shared" si="0"/>
        <v>52.199999999999996</v>
      </c>
      <c r="K22" s="108"/>
      <c r="L22" s="108"/>
      <c r="M22" s="108"/>
      <c r="N22" s="108"/>
      <c r="O22" s="233"/>
    </row>
    <row r="23" spans="1:15" s="203" customFormat="1" ht="21" customHeight="1" x14ac:dyDescent="0.25">
      <c r="A23" s="308">
        <v>20</v>
      </c>
      <c r="B23" s="410"/>
      <c r="C23" s="25">
        <v>8888626168746</v>
      </c>
      <c r="D23" s="301">
        <v>514341</v>
      </c>
      <c r="E23" s="99" t="s">
        <v>381</v>
      </c>
      <c r="F23" s="248">
        <v>6</v>
      </c>
      <c r="G23" s="27">
        <v>4.3499999999999996</v>
      </c>
      <c r="H23" s="27">
        <v>4.3499999999999996</v>
      </c>
      <c r="I23" s="28">
        <v>12</v>
      </c>
      <c r="J23" s="133">
        <f t="shared" si="0"/>
        <v>52.199999999999996</v>
      </c>
      <c r="K23" s="108"/>
      <c r="L23" s="108"/>
      <c r="M23" s="108"/>
      <c r="N23" s="108"/>
      <c r="O23" s="233"/>
    </row>
    <row r="24" spans="1:15" s="223" customFormat="1" ht="21" customHeight="1" x14ac:dyDescent="0.25">
      <c r="A24" s="308">
        <v>21</v>
      </c>
      <c r="B24" s="397"/>
      <c r="C24" s="25">
        <v>8888626092522</v>
      </c>
      <c r="D24" s="293">
        <v>513020</v>
      </c>
      <c r="E24" s="99" t="s">
        <v>202</v>
      </c>
      <c r="F24" s="248">
        <v>6</v>
      </c>
      <c r="G24" s="27">
        <v>4.3499999999999996</v>
      </c>
      <c r="H24" s="27">
        <v>4.3499999999999996</v>
      </c>
      <c r="I24" s="28">
        <v>18</v>
      </c>
      <c r="J24" s="133">
        <f t="shared" si="0"/>
        <v>78.3</v>
      </c>
      <c r="K24" s="108"/>
      <c r="L24" s="108"/>
      <c r="M24" s="108"/>
      <c r="N24" s="108"/>
      <c r="O24" s="233"/>
    </row>
    <row r="25" spans="1:15" s="247" customFormat="1" ht="21" customHeight="1" x14ac:dyDescent="0.25">
      <c r="A25" s="308">
        <v>22</v>
      </c>
      <c r="B25" s="427" t="s">
        <v>29</v>
      </c>
      <c r="C25" s="25" t="s">
        <v>49</v>
      </c>
      <c r="D25" s="293">
        <v>513048</v>
      </c>
      <c r="E25" s="99" t="s">
        <v>112</v>
      </c>
      <c r="F25" s="248">
        <v>4</v>
      </c>
      <c r="G25" s="27">
        <v>6.4</v>
      </c>
      <c r="H25" s="27">
        <v>6.4</v>
      </c>
      <c r="I25" s="28">
        <v>12</v>
      </c>
      <c r="J25" s="133">
        <f t="shared" si="0"/>
        <v>76.800000000000011</v>
      </c>
      <c r="K25" s="108"/>
      <c r="L25" s="108"/>
      <c r="M25" s="108"/>
      <c r="N25" s="108"/>
      <c r="O25" s="233"/>
    </row>
    <row r="26" spans="1:15" s="82" customFormat="1" ht="21" customHeight="1" x14ac:dyDescent="0.25">
      <c r="A26" s="308">
        <v>23</v>
      </c>
      <c r="B26" s="428"/>
      <c r="C26" s="25">
        <v>8888626087474</v>
      </c>
      <c r="D26" s="301">
        <v>513001</v>
      </c>
      <c r="E26" s="99" t="s">
        <v>65</v>
      </c>
      <c r="F26" s="248">
        <v>6</v>
      </c>
      <c r="G26" s="27">
        <v>4.3499999999999996</v>
      </c>
      <c r="H26" s="27">
        <v>4.3499999999999996</v>
      </c>
      <c r="I26" s="28">
        <v>18</v>
      </c>
      <c r="J26" s="33">
        <f t="shared" si="0"/>
        <v>78.3</v>
      </c>
      <c r="K26" s="108"/>
      <c r="L26" s="108"/>
      <c r="M26" s="108"/>
      <c r="N26" s="108"/>
      <c r="O26" s="233"/>
    </row>
    <row r="27" spans="1:15" s="207" customFormat="1" ht="21" customHeight="1" x14ac:dyDescent="0.25">
      <c r="A27" s="308">
        <v>24</v>
      </c>
      <c r="B27" s="429"/>
      <c r="C27" s="301" t="s">
        <v>50</v>
      </c>
      <c r="D27" s="301">
        <v>513051</v>
      </c>
      <c r="E27" s="26" t="s">
        <v>113</v>
      </c>
      <c r="F27" s="248">
        <v>12</v>
      </c>
      <c r="G27" s="27">
        <v>1.25</v>
      </c>
      <c r="H27" s="27">
        <v>1.25</v>
      </c>
      <c r="I27" s="28">
        <v>36</v>
      </c>
      <c r="J27" s="133">
        <f t="shared" si="0"/>
        <v>45</v>
      </c>
      <c r="K27" s="108"/>
      <c r="L27" s="108"/>
      <c r="M27" s="108"/>
      <c r="N27" s="108"/>
      <c r="O27" s="233"/>
    </row>
    <row r="28" spans="1:15" s="278" customFormat="1" ht="21" customHeight="1" x14ac:dyDescent="0.25">
      <c r="A28" s="308">
        <v>25</v>
      </c>
      <c r="B28" s="396" t="s">
        <v>321</v>
      </c>
      <c r="C28" s="119" t="s">
        <v>389</v>
      </c>
      <c r="D28" s="325">
        <v>389431</v>
      </c>
      <c r="E28" s="26" t="s">
        <v>388</v>
      </c>
      <c r="F28" s="248">
        <v>12</v>
      </c>
      <c r="G28" s="27">
        <v>1.25</v>
      </c>
      <c r="H28" s="27">
        <v>1.25</v>
      </c>
      <c r="I28" s="28">
        <v>120</v>
      </c>
      <c r="J28" s="133">
        <f t="shared" si="0"/>
        <v>150</v>
      </c>
      <c r="K28" s="108"/>
      <c r="L28" s="108"/>
      <c r="M28" s="108"/>
      <c r="N28" s="108"/>
      <c r="O28" s="233"/>
    </row>
    <row r="29" spans="1:15" s="123" customFormat="1" ht="21" customHeight="1" x14ac:dyDescent="0.25">
      <c r="A29" s="308">
        <v>26</v>
      </c>
      <c r="B29" s="397"/>
      <c r="C29" s="364" t="s">
        <v>390</v>
      </c>
      <c r="D29" s="74">
        <v>389432</v>
      </c>
      <c r="E29" s="363" t="s">
        <v>387</v>
      </c>
      <c r="F29" s="76">
        <v>12</v>
      </c>
      <c r="G29" s="105">
        <v>1.25</v>
      </c>
      <c r="H29" s="105">
        <v>1.25</v>
      </c>
      <c r="I29" s="78">
        <v>36</v>
      </c>
      <c r="J29" s="360">
        <f t="shared" si="0"/>
        <v>45</v>
      </c>
      <c r="K29" s="108"/>
      <c r="L29" s="108"/>
      <c r="M29" s="108"/>
      <c r="N29" s="108"/>
      <c r="O29" s="233"/>
    </row>
    <row r="30" spans="1:15" s="328" customFormat="1" ht="21" customHeight="1" x14ac:dyDescent="0.25">
      <c r="A30" s="308">
        <v>27</v>
      </c>
      <c r="B30" s="276" t="s">
        <v>188</v>
      </c>
      <c r="C30" s="119" t="s">
        <v>187</v>
      </c>
      <c r="D30" s="301">
        <v>954452</v>
      </c>
      <c r="E30" s="305" t="s">
        <v>201</v>
      </c>
      <c r="F30" s="248">
        <v>12</v>
      </c>
      <c r="G30" s="27">
        <v>4</v>
      </c>
      <c r="H30" s="27">
        <v>4</v>
      </c>
      <c r="I30" s="28">
        <v>96</v>
      </c>
      <c r="J30" s="133">
        <f t="shared" si="0"/>
        <v>384</v>
      </c>
      <c r="K30" s="108"/>
      <c r="L30" s="108"/>
      <c r="M30" s="108"/>
      <c r="N30" s="108"/>
      <c r="O30" s="233"/>
    </row>
    <row r="31" spans="1:15" s="272" customFormat="1" ht="21" customHeight="1" x14ac:dyDescent="0.25">
      <c r="A31" s="308">
        <v>28</v>
      </c>
      <c r="B31" s="310" t="s">
        <v>396</v>
      </c>
      <c r="C31" s="119" t="s">
        <v>320</v>
      </c>
      <c r="D31" s="301">
        <v>953998</v>
      </c>
      <c r="E31" s="306" t="s">
        <v>308</v>
      </c>
      <c r="F31" s="248">
        <v>6</v>
      </c>
      <c r="G31" s="304">
        <v>9.9499999999999993</v>
      </c>
      <c r="H31" s="304">
        <v>9.9499999999999993</v>
      </c>
      <c r="I31" s="28">
        <v>60</v>
      </c>
      <c r="J31" s="133">
        <f t="shared" si="0"/>
        <v>597</v>
      </c>
      <c r="K31" s="108"/>
      <c r="L31" s="108"/>
      <c r="M31" s="108"/>
      <c r="N31" s="108"/>
      <c r="O31" s="233"/>
    </row>
    <row r="32" spans="1:15" s="272" customFormat="1" ht="21" customHeight="1" x14ac:dyDescent="0.25">
      <c r="A32" s="308">
        <v>29</v>
      </c>
      <c r="B32" s="329" t="s">
        <v>326</v>
      </c>
      <c r="C32" s="119" t="s">
        <v>324</v>
      </c>
      <c r="D32" s="330">
        <v>513863</v>
      </c>
      <c r="E32" s="306" t="s">
        <v>325</v>
      </c>
      <c r="F32" s="248">
        <v>6</v>
      </c>
      <c r="G32" s="27">
        <v>8.8000000000000007</v>
      </c>
      <c r="H32" s="27">
        <v>8.8000000000000007</v>
      </c>
      <c r="I32" s="28">
        <v>48</v>
      </c>
      <c r="J32" s="133">
        <f t="shared" si="0"/>
        <v>422.40000000000003</v>
      </c>
      <c r="K32" s="108"/>
      <c r="L32" s="108"/>
      <c r="M32" s="108"/>
      <c r="N32" s="108"/>
      <c r="O32" s="233"/>
    </row>
    <row r="33" spans="1:15" s="207" customFormat="1" ht="21" customHeight="1" x14ac:dyDescent="0.25">
      <c r="A33" s="308">
        <v>30</v>
      </c>
      <c r="B33" s="287" t="s">
        <v>391</v>
      </c>
      <c r="C33" s="119" t="s">
        <v>323</v>
      </c>
      <c r="D33" s="325">
        <v>513871</v>
      </c>
      <c r="E33" s="26" t="s">
        <v>322</v>
      </c>
      <c r="F33" s="248">
        <v>4</v>
      </c>
      <c r="G33" s="27">
        <v>8.9499999999999993</v>
      </c>
      <c r="H33" s="27">
        <v>8.9499999999999993</v>
      </c>
      <c r="I33" s="28">
        <v>52</v>
      </c>
      <c r="J33" s="133">
        <f t="shared" si="0"/>
        <v>465.4</v>
      </c>
      <c r="K33" s="108"/>
      <c r="L33" s="108"/>
      <c r="M33" s="108"/>
      <c r="N33" s="108"/>
      <c r="O33" s="233"/>
    </row>
    <row r="34" spans="1:15" s="172" customFormat="1" ht="21" customHeight="1" x14ac:dyDescent="0.25">
      <c r="A34" s="308">
        <v>31</v>
      </c>
      <c r="B34" s="410" t="s">
        <v>396</v>
      </c>
      <c r="C34" s="119" t="s">
        <v>382</v>
      </c>
      <c r="D34" s="346">
        <v>953966</v>
      </c>
      <c r="E34" s="26" t="s">
        <v>383</v>
      </c>
      <c r="F34" s="248">
        <v>12</v>
      </c>
      <c r="G34" s="27">
        <v>4.5999999999999996</v>
      </c>
      <c r="H34" s="27">
        <v>4.5999999999999996</v>
      </c>
      <c r="I34" s="28">
        <v>24</v>
      </c>
      <c r="J34" s="133">
        <f t="shared" si="0"/>
        <v>110.39999999999999</v>
      </c>
      <c r="K34" s="108"/>
      <c r="L34" s="108"/>
      <c r="M34" s="108"/>
      <c r="N34" s="108"/>
      <c r="O34" s="233"/>
    </row>
    <row r="35" spans="1:15" s="172" customFormat="1" ht="21" customHeight="1" x14ac:dyDescent="0.25">
      <c r="A35" s="308">
        <v>32</v>
      </c>
      <c r="B35" s="410"/>
      <c r="C35" s="119" t="s">
        <v>392</v>
      </c>
      <c r="D35" s="346">
        <v>953965</v>
      </c>
      <c r="E35" s="26" t="s">
        <v>384</v>
      </c>
      <c r="F35" s="248">
        <v>12</v>
      </c>
      <c r="G35" s="27">
        <v>2.2000000000000002</v>
      </c>
      <c r="H35" s="27">
        <v>2.2000000000000002</v>
      </c>
      <c r="I35" s="28">
        <v>24</v>
      </c>
      <c r="J35" s="133">
        <f t="shared" si="0"/>
        <v>52.800000000000004</v>
      </c>
      <c r="K35" s="108"/>
      <c r="L35" s="108"/>
      <c r="M35" s="108"/>
      <c r="N35" s="108"/>
      <c r="O35" s="233"/>
    </row>
    <row r="36" spans="1:15" s="172" customFormat="1" ht="21" customHeight="1" x14ac:dyDescent="0.25">
      <c r="A36" s="308">
        <v>33</v>
      </c>
      <c r="B36" s="410"/>
      <c r="C36" s="119" t="s">
        <v>385</v>
      </c>
      <c r="D36" s="346">
        <v>953964</v>
      </c>
      <c r="E36" s="26" t="s">
        <v>386</v>
      </c>
      <c r="F36" s="248">
        <v>12</v>
      </c>
      <c r="G36" s="27">
        <v>2.75</v>
      </c>
      <c r="H36" s="27">
        <v>2.75</v>
      </c>
      <c r="I36" s="28">
        <v>24</v>
      </c>
      <c r="J36" s="133">
        <f t="shared" si="0"/>
        <v>66</v>
      </c>
      <c r="K36" s="108"/>
      <c r="L36" s="108"/>
      <c r="M36" s="108"/>
      <c r="N36" s="108"/>
      <c r="O36" s="233"/>
    </row>
    <row r="37" spans="1:15" s="131" customFormat="1" ht="21" customHeight="1" x14ac:dyDescent="0.25">
      <c r="A37" s="308">
        <v>34</v>
      </c>
      <c r="B37" s="410"/>
      <c r="C37" s="119" t="s">
        <v>245</v>
      </c>
      <c r="D37" s="301">
        <v>954356</v>
      </c>
      <c r="E37" s="26" t="s">
        <v>244</v>
      </c>
      <c r="F37" s="248">
        <v>24</v>
      </c>
      <c r="G37" s="27">
        <v>3.95</v>
      </c>
      <c r="H37" s="27">
        <v>3.95</v>
      </c>
      <c r="I37" s="28">
        <v>48</v>
      </c>
      <c r="J37" s="133">
        <f t="shared" si="0"/>
        <v>189.60000000000002</v>
      </c>
      <c r="K37" s="108"/>
      <c r="L37" s="108"/>
      <c r="M37" s="108"/>
      <c r="N37" s="108"/>
      <c r="O37" s="233"/>
    </row>
    <row r="38" spans="1:15" s="131" customFormat="1" ht="21" customHeight="1" x14ac:dyDescent="0.25">
      <c r="A38" s="308">
        <v>35</v>
      </c>
      <c r="B38" s="410"/>
      <c r="C38" s="119" t="s">
        <v>180</v>
      </c>
      <c r="D38" s="301">
        <v>954355</v>
      </c>
      <c r="E38" s="26" t="s">
        <v>181</v>
      </c>
      <c r="F38" s="248">
        <v>24</v>
      </c>
      <c r="G38" s="27">
        <v>2.99</v>
      </c>
      <c r="H38" s="27">
        <v>2.99</v>
      </c>
      <c r="I38" s="28">
        <v>48</v>
      </c>
      <c r="J38" s="133">
        <f t="shared" si="0"/>
        <v>143.52000000000001</v>
      </c>
      <c r="K38" s="108"/>
      <c r="L38" s="108"/>
      <c r="M38" s="108"/>
      <c r="N38" s="108"/>
      <c r="O38" s="233"/>
    </row>
    <row r="39" spans="1:15" s="131" customFormat="1" ht="21" customHeight="1" x14ac:dyDescent="0.25">
      <c r="A39" s="308">
        <v>36</v>
      </c>
      <c r="B39" s="410"/>
      <c r="C39" s="119" t="s">
        <v>194</v>
      </c>
      <c r="D39" s="293">
        <v>954357</v>
      </c>
      <c r="E39" s="26" t="s">
        <v>190</v>
      </c>
      <c r="F39" s="248">
        <v>10</v>
      </c>
      <c r="G39" s="27">
        <v>2.9</v>
      </c>
      <c r="H39" s="27">
        <v>2.9</v>
      </c>
      <c r="I39" s="28">
        <v>70</v>
      </c>
      <c r="J39" s="33">
        <f t="shared" si="0"/>
        <v>203</v>
      </c>
      <c r="K39" s="108"/>
      <c r="L39" s="108"/>
      <c r="M39" s="108"/>
      <c r="N39" s="108"/>
      <c r="O39" s="233"/>
    </row>
    <row r="40" spans="1:15" s="131" customFormat="1" ht="21" customHeight="1" x14ac:dyDescent="0.25">
      <c r="A40" s="308">
        <v>37</v>
      </c>
      <c r="B40" s="410"/>
      <c r="C40" s="119" t="s">
        <v>195</v>
      </c>
      <c r="D40" s="293">
        <v>954358</v>
      </c>
      <c r="E40" s="26" t="s">
        <v>191</v>
      </c>
      <c r="F40" s="248">
        <v>10</v>
      </c>
      <c r="G40" s="27">
        <v>3</v>
      </c>
      <c r="H40" s="27">
        <v>3</v>
      </c>
      <c r="I40" s="28">
        <v>90</v>
      </c>
      <c r="J40" s="33">
        <f t="shared" si="0"/>
        <v>270</v>
      </c>
      <c r="K40" s="108"/>
      <c r="L40" s="108"/>
      <c r="M40" s="108"/>
      <c r="N40" s="108"/>
      <c r="O40" s="233"/>
    </row>
    <row r="41" spans="1:15" s="131" customFormat="1" ht="21" customHeight="1" x14ac:dyDescent="0.25">
      <c r="A41" s="308">
        <v>38</v>
      </c>
      <c r="B41" s="397"/>
      <c r="C41" s="364" t="s">
        <v>183</v>
      </c>
      <c r="D41" s="74">
        <v>954359</v>
      </c>
      <c r="E41" s="363" t="s">
        <v>182</v>
      </c>
      <c r="F41" s="76">
        <v>24</v>
      </c>
      <c r="G41" s="105">
        <v>2.2999999999999998</v>
      </c>
      <c r="H41" s="105">
        <v>2.2999999999999998</v>
      </c>
      <c r="I41" s="78">
        <v>48</v>
      </c>
      <c r="J41" s="365">
        <f t="shared" si="0"/>
        <v>110.39999999999999</v>
      </c>
      <c r="K41" s="108"/>
      <c r="L41" s="108"/>
      <c r="M41" s="108"/>
      <c r="N41" s="108"/>
      <c r="O41" s="233"/>
    </row>
    <row r="42" spans="1:15" s="128" customFormat="1" ht="21" customHeight="1" x14ac:dyDescent="0.25">
      <c r="A42" s="426" t="s">
        <v>16</v>
      </c>
      <c r="B42" s="426"/>
      <c r="C42" s="426"/>
      <c r="D42" s="426"/>
      <c r="E42" s="426"/>
      <c r="F42" s="426"/>
      <c r="G42" s="426"/>
      <c r="H42" s="426"/>
      <c r="I42" s="426"/>
      <c r="J42" s="124">
        <f>SUM(J4:J41)</f>
        <v>9200.5399999999991</v>
      </c>
      <c r="K42" s="108"/>
      <c r="L42" s="108"/>
      <c r="M42" s="131"/>
      <c r="N42" s="108"/>
      <c r="O42" s="233"/>
    </row>
    <row r="43" spans="1:15" s="125" customFormat="1" ht="21" customHeight="1" x14ac:dyDescent="0.25">
      <c r="A43" s="11"/>
      <c r="B43" s="12"/>
      <c r="C43" s="12"/>
      <c r="D43" s="12"/>
      <c r="E43" s="10"/>
      <c r="F43" s="11"/>
      <c r="G43" s="10"/>
      <c r="H43" s="11"/>
      <c r="I43" s="5"/>
      <c r="J43" s="19"/>
      <c r="K43" s="108"/>
      <c r="L43" s="108"/>
      <c r="M43" s="128"/>
      <c r="N43" s="108"/>
      <c r="O43" s="128"/>
    </row>
    <row r="44" spans="1:15" s="125" customFormat="1" ht="21" customHeight="1" x14ac:dyDescent="0.25">
      <c r="A44" s="11"/>
      <c r="B44" s="12"/>
      <c r="C44" s="12"/>
      <c r="D44" s="12"/>
      <c r="E44" s="10"/>
      <c r="F44" s="11"/>
      <c r="G44" s="10"/>
      <c r="H44" s="11"/>
      <c r="I44" s="5"/>
      <c r="J44" s="19"/>
      <c r="K44" s="108"/>
      <c r="L44" s="108"/>
      <c r="N44" s="108"/>
    </row>
    <row r="45" spans="1:15" s="125" customFormat="1" ht="21" customHeight="1" x14ac:dyDescent="0.25">
      <c r="A45" s="11"/>
      <c r="B45" s="12"/>
      <c r="C45" s="12"/>
      <c r="D45" s="12"/>
      <c r="E45" s="10"/>
      <c r="F45" s="11"/>
      <c r="G45" s="10"/>
      <c r="H45" s="11"/>
      <c r="I45" s="5"/>
      <c r="J45" s="19"/>
      <c r="K45" s="108"/>
      <c r="L45" s="108"/>
      <c r="N45" s="108"/>
    </row>
    <row r="46" spans="1:15" ht="21" customHeight="1" x14ac:dyDescent="0.25">
      <c r="A46" s="11"/>
      <c r="B46" s="12"/>
      <c r="C46" s="12"/>
      <c r="D46" s="12"/>
      <c r="E46" s="10"/>
      <c r="F46" s="11"/>
      <c r="G46" s="10"/>
      <c r="H46" s="11"/>
      <c r="I46" s="5"/>
      <c r="J46" s="19"/>
      <c r="M46" s="125"/>
      <c r="O46" s="125"/>
    </row>
    <row r="47" spans="1:15" ht="21" customHeight="1" x14ac:dyDescent="0.25">
      <c r="A47" s="11"/>
      <c r="B47" s="12"/>
      <c r="C47" s="12"/>
      <c r="D47" s="12"/>
      <c r="E47" s="10"/>
      <c r="F47" s="11"/>
      <c r="G47" s="10"/>
      <c r="H47" s="11"/>
      <c r="I47" s="5"/>
      <c r="J47" s="19"/>
    </row>
    <row r="48" spans="1:15" ht="21" customHeight="1" x14ac:dyDescent="0.25">
      <c r="A48" s="11"/>
      <c r="B48" s="12"/>
      <c r="C48" s="12"/>
      <c r="D48" s="12"/>
      <c r="E48" s="10"/>
      <c r="F48" s="11"/>
      <c r="G48" s="10"/>
      <c r="H48" s="11"/>
      <c r="I48" s="5"/>
      <c r="J48" s="19"/>
    </row>
    <row r="49" spans="1:10" ht="21" customHeight="1" x14ac:dyDescent="0.25">
      <c r="A49" s="11"/>
      <c r="B49" s="12"/>
      <c r="C49" s="12"/>
      <c r="D49" s="12"/>
      <c r="E49" s="10"/>
      <c r="F49" s="11"/>
      <c r="G49" s="10"/>
      <c r="H49" s="11"/>
      <c r="I49" s="5"/>
      <c r="J49" s="19"/>
    </row>
    <row r="50" spans="1:10" ht="21" customHeight="1" x14ac:dyDescent="0.25">
      <c r="A50" s="11"/>
      <c r="B50" s="12"/>
      <c r="C50" s="12"/>
      <c r="D50" s="12"/>
      <c r="E50" s="10"/>
      <c r="F50" s="11"/>
      <c r="G50" s="10"/>
      <c r="H50" s="11"/>
      <c r="I50" s="5"/>
      <c r="J50" s="19"/>
    </row>
    <row r="51" spans="1:10" ht="21" customHeight="1" x14ac:dyDescent="0.25">
      <c r="A51" s="11"/>
      <c r="B51" s="12"/>
      <c r="C51" s="12"/>
      <c r="D51" s="12"/>
      <c r="E51" s="10"/>
      <c r="F51" s="11"/>
      <c r="G51" s="10"/>
      <c r="H51" s="11"/>
      <c r="I51" s="5"/>
      <c r="J51" s="19"/>
    </row>
    <row r="52" spans="1:10" ht="21" customHeight="1" x14ac:dyDescent="0.25">
      <c r="A52" s="11"/>
      <c r="B52" s="12"/>
      <c r="C52" s="12"/>
      <c r="D52" s="12"/>
      <c r="E52" s="10"/>
      <c r="F52" s="11"/>
      <c r="G52" s="10"/>
      <c r="H52" s="11"/>
      <c r="I52" s="5"/>
      <c r="J52" s="19"/>
    </row>
    <row r="53" spans="1:10" ht="21" customHeight="1" x14ac:dyDescent="0.25">
      <c r="A53" s="11"/>
      <c r="B53" s="12"/>
      <c r="C53" s="12"/>
      <c r="D53" s="12"/>
      <c r="E53" s="10"/>
      <c r="F53" s="11"/>
      <c r="G53" s="10"/>
      <c r="H53" s="11"/>
      <c r="I53" s="5"/>
      <c r="J53" s="19"/>
    </row>
    <row r="54" spans="1:10" ht="21" customHeight="1" x14ac:dyDescent="0.25">
      <c r="A54" s="11"/>
      <c r="B54" s="12"/>
      <c r="C54" s="12"/>
      <c r="D54" s="12"/>
      <c r="E54" s="10"/>
      <c r="F54" s="11"/>
      <c r="G54" s="10"/>
      <c r="H54" s="11"/>
      <c r="I54" s="5"/>
      <c r="J54" s="19"/>
    </row>
    <row r="55" spans="1:10" ht="21" customHeight="1" x14ac:dyDescent="0.25">
      <c r="A55" s="11"/>
      <c r="B55" s="12"/>
      <c r="C55" s="12"/>
      <c r="D55" s="12"/>
      <c r="E55" s="10"/>
      <c r="F55" s="11"/>
      <c r="G55" s="10"/>
      <c r="H55" s="11"/>
      <c r="I55" s="5"/>
      <c r="J55" s="19"/>
    </row>
    <row r="56" spans="1:10" ht="21" customHeight="1" x14ac:dyDescent="0.25">
      <c r="A56" s="11"/>
      <c r="B56" s="12"/>
      <c r="C56" s="12"/>
      <c r="D56" s="12"/>
      <c r="E56" s="10"/>
      <c r="F56" s="11"/>
      <c r="G56" s="10"/>
      <c r="H56" s="11"/>
      <c r="I56" s="5"/>
      <c r="J56" s="19"/>
    </row>
    <row r="57" spans="1:10" ht="21" customHeight="1" x14ac:dyDescent="0.25">
      <c r="A57" s="11"/>
      <c r="B57" s="12"/>
      <c r="C57" s="12"/>
      <c r="D57" s="12"/>
      <c r="E57" s="10"/>
      <c r="F57" s="11"/>
      <c r="G57" s="10"/>
      <c r="H57" s="11"/>
      <c r="I57" s="5"/>
      <c r="J57" s="19"/>
    </row>
    <row r="58" spans="1:10" ht="21" customHeight="1" x14ac:dyDescent="0.25">
      <c r="A58" s="11"/>
      <c r="B58" s="12"/>
      <c r="C58" s="12"/>
      <c r="D58" s="12"/>
      <c r="E58" s="10"/>
      <c r="F58" s="11"/>
      <c r="G58" s="10"/>
      <c r="H58" s="11"/>
      <c r="I58" s="5"/>
      <c r="J58" s="19"/>
    </row>
    <row r="59" spans="1:10" ht="21" customHeight="1" x14ac:dyDescent="0.25">
      <c r="A59" s="11"/>
      <c r="B59" s="12"/>
      <c r="C59" s="12"/>
      <c r="D59" s="12"/>
      <c r="E59" s="10"/>
      <c r="F59" s="11"/>
      <c r="G59" s="10"/>
      <c r="H59" s="11"/>
      <c r="I59" s="5"/>
      <c r="J59" s="19"/>
    </row>
    <row r="60" spans="1:10" ht="21" customHeight="1" x14ac:dyDescent="0.25">
      <c r="A60" s="11"/>
      <c r="B60" s="12"/>
      <c r="C60" s="12"/>
      <c r="D60" s="12"/>
      <c r="E60" s="10"/>
      <c r="F60" s="11"/>
      <c r="G60" s="10"/>
      <c r="H60" s="11"/>
      <c r="I60" s="5"/>
      <c r="J60" s="19"/>
    </row>
    <row r="61" spans="1:10" ht="21" customHeight="1" x14ac:dyDescent="0.25">
      <c r="A61" s="11"/>
      <c r="B61" s="12"/>
      <c r="C61" s="12"/>
      <c r="D61" s="12"/>
      <c r="E61" s="10"/>
      <c r="F61" s="11"/>
      <c r="G61" s="10"/>
      <c r="H61" s="11"/>
      <c r="I61" s="5"/>
      <c r="J61" s="19"/>
    </row>
    <row r="62" spans="1:10" ht="21" customHeight="1" x14ac:dyDescent="0.25">
      <c r="A62" s="11"/>
      <c r="B62" s="12"/>
      <c r="C62" s="12"/>
      <c r="D62" s="12"/>
      <c r="E62" s="10"/>
      <c r="F62" s="11"/>
      <c r="G62" s="10"/>
      <c r="H62" s="11"/>
      <c r="I62" s="5"/>
      <c r="J62" s="19"/>
    </row>
    <row r="63" spans="1:10" ht="21" customHeight="1" x14ac:dyDescent="0.25">
      <c r="A63" s="11"/>
      <c r="B63" s="12"/>
      <c r="C63" s="12"/>
      <c r="D63" s="12"/>
      <c r="E63" s="10"/>
      <c r="F63" s="11"/>
      <c r="G63" s="10"/>
      <c r="H63" s="11"/>
      <c r="I63" s="5"/>
      <c r="J63" s="19"/>
    </row>
    <row r="64" spans="1:10" ht="21" customHeight="1" x14ac:dyDescent="0.25">
      <c r="A64" s="11"/>
      <c r="B64" s="12"/>
      <c r="C64" s="12"/>
      <c r="D64" s="12"/>
      <c r="E64" s="10"/>
      <c r="F64" s="11"/>
      <c r="G64" s="10"/>
      <c r="H64" s="11"/>
      <c r="I64" s="5"/>
      <c r="J64" s="19"/>
    </row>
    <row r="65" spans="1:10" ht="21" customHeight="1" x14ac:dyDescent="0.25">
      <c r="A65" s="11"/>
      <c r="B65" s="12"/>
      <c r="C65" s="12"/>
      <c r="D65" s="12"/>
      <c r="E65" s="10"/>
      <c r="F65" s="11"/>
      <c r="G65" s="10"/>
      <c r="H65" s="11"/>
      <c r="I65" s="5"/>
      <c r="J65" s="19"/>
    </row>
    <row r="66" spans="1:10" ht="21" customHeight="1" x14ac:dyDescent="0.25">
      <c r="A66" s="11"/>
      <c r="B66" s="12"/>
      <c r="C66" s="12"/>
      <c r="D66" s="12"/>
      <c r="E66" s="10"/>
      <c r="F66" s="11"/>
      <c r="G66" s="10"/>
      <c r="H66" s="11"/>
      <c r="I66" s="5"/>
      <c r="J66" s="19"/>
    </row>
    <row r="67" spans="1:10" ht="21" customHeight="1" x14ac:dyDescent="0.25">
      <c r="A67" s="11"/>
      <c r="B67" s="12"/>
      <c r="C67" s="12"/>
      <c r="D67" s="12"/>
      <c r="E67" s="10"/>
      <c r="F67" s="11"/>
      <c r="G67" s="10"/>
      <c r="H67" s="11"/>
      <c r="I67" s="5"/>
      <c r="J67" s="19"/>
    </row>
    <row r="68" spans="1:10" ht="21" customHeight="1" x14ac:dyDescent="0.25">
      <c r="A68" s="11"/>
      <c r="B68" s="12"/>
      <c r="C68" s="12"/>
      <c r="D68" s="12"/>
      <c r="E68" s="10"/>
      <c r="F68" s="11"/>
      <c r="G68" s="10"/>
      <c r="H68" s="11"/>
      <c r="I68" s="5"/>
      <c r="J68" s="19"/>
    </row>
    <row r="69" spans="1:10" ht="21" customHeight="1" x14ac:dyDescent="0.25">
      <c r="A69" s="11"/>
      <c r="B69" s="12"/>
      <c r="C69" s="12"/>
      <c r="D69" s="12"/>
      <c r="E69" s="10"/>
      <c r="F69" s="11"/>
      <c r="G69" s="10"/>
      <c r="H69" s="11"/>
      <c r="I69" s="5"/>
      <c r="J69" s="19"/>
    </row>
    <row r="70" spans="1:10" ht="21" customHeight="1" x14ac:dyDescent="0.25">
      <c r="A70" s="11"/>
      <c r="B70" s="12"/>
      <c r="C70" s="12"/>
      <c r="D70" s="12"/>
      <c r="E70" s="10"/>
      <c r="F70" s="11"/>
      <c r="G70" s="10"/>
      <c r="H70" s="11"/>
      <c r="I70" s="5"/>
      <c r="J70" s="19"/>
    </row>
    <row r="71" spans="1:10" ht="21" customHeight="1" x14ac:dyDescent="0.25">
      <c r="A71" s="11"/>
      <c r="B71" s="12"/>
      <c r="C71" s="12"/>
      <c r="D71" s="12"/>
      <c r="E71" s="10"/>
      <c r="F71" s="11"/>
      <c r="G71" s="10"/>
      <c r="H71" s="11"/>
      <c r="I71" s="5"/>
      <c r="J71" s="19"/>
    </row>
    <row r="72" spans="1:10" ht="21" customHeight="1" x14ac:dyDescent="0.25">
      <c r="A72" s="11"/>
      <c r="B72" s="12"/>
      <c r="C72" s="12"/>
      <c r="D72" s="12"/>
      <c r="E72" s="10"/>
      <c r="F72" s="11"/>
      <c r="G72" s="10"/>
      <c r="H72" s="11"/>
      <c r="I72" s="5"/>
      <c r="J72" s="19"/>
    </row>
    <row r="73" spans="1:10" ht="21" customHeight="1" x14ac:dyDescent="0.25">
      <c r="A73" s="11"/>
      <c r="B73" s="12"/>
      <c r="C73" s="12"/>
      <c r="D73" s="12"/>
      <c r="E73" s="10"/>
      <c r="F73" s="11"/>
      <c r="G73" s="10"/>
      <c r="H73" s="11"/>
      <c r="I73" s="5"/>
      <c r="J73" s="19"/>
    </row>
    <row r="74" spans="1:10" ht="21" customHeight="1" x14ac:dyDescent="0.25">
      <c r="A74" s="11"/>
      <c r="B74" s="12"/>
      <c r="C74" s="12"/>
      <c r="D74" s="12"/>
      <c r="E74" s="10"/>
      <c r="F74" s="11"/>
      <c r="G74" s="10"/>
      <c r="H74" s="11"/>
      <c r="I74" s="5"/>
      <c r="J74" s="19"/>
    </row>
    <row r="75" spans="1:10" ht="21" customHeight="1" x14ac:dyDescent="0.25">
      <c r="A75" s="11"/>
      <c r="B75" s="12"/>
      <c r="C75" s="12"/>
      <c r="D75" s="12"/>
      <c r="E75" s="10"/>
      <c r="F75" s="11"/>
      <c r="G75" s="10"/>
      <c r="H75" s="11"/>
      <c r="I75" s="5"/>
      <c r="J75" s="19"/>
    </row>
    <row r="76" spans="1:10" ht="21" customHeight="1" x14ac:dyDescent="0.25">
      <c r="A76" s="11"/>
      <c r="B76" s="12"/>
      <c r="C76" s="12"/>
      <c r="D76" s="12"/>
      <c r="E76" s="10"/>
      <c r="F76" s="11"/>
      <c r="G76" s="10"/>
      <c r="H76" s="11"/>
      <c r="I76" s="5"/>
      <c r="J76" s="19"/>
    </row>
    <row r="77" spans="1:10" ht="21" customHeight="1" x14ac:dyDescent="0.25">
      <c r="A77" s="11"/>
      <c r="B77" s="12"/>
      <c r="C77" s="12"/>
      <c r="D77" s="12"/>
      <c r="E77" s="10"/>
      <c r="F77" s="11"/>
      <c r="G77" s="10"/>
      <c r="H77" s="11"/>
      <c r="I77" s="5"/>
      <c r="J77" s="19"/>
    </row>
    <row r="78" spans="1:10" ht="21" customHeight="1" x14ac:dyDescent="0.25">
      <c r="A78" s="11"/>
      <c r="B78" s="12"/>
      <c r="C78" s="12"/>
      <c r="D78" s="12"/>
      <c r="E78" s="10"/>
      <c r="F78" s="11"/>
      <c r="G78" s="10"/>
      <c r="H78" s="11"/>
      <c r="I78" s="5"/>
      <c r="J78" s="19"/>
    </row>
    <row r="79" spans="1:10" ht="21" customHeight="1" x14ac:dyDescent="0.25">
      <c r="A79" s="11"/>
      <c r="B79" s="12"/>
      <c r="C79" s="12"/>
      <c r="D79" s="12"/>
      <c r="E79" s="10"/>
      <c r="F79" s="11"/>
      <c r="G79" s="10"/>
      <c r="H79" s="11"/>
      <c r="I79" s="5"/>
      <c r="J79" s="19"/>
    </row>
    <row r="80" spans="1:10" ht="21" customHeight="1" x14ac:dyDescent="0.25">
      <c r="A80" s="11"/>
      <c r="B80" s="12"/>
      <c r="C80" s="12"/>
      <c r="D80" s="12"/>
      <c r="E80" s="10"/>
      <c r="F80" s="11"/>
      <c r="G80" s="10"/>
      <c r="H80" s="11"/>
      <c r="I80" s="5"/>
      <c r="J80" s="19"/>
    </row>
    <row r="81" spans="1:10" ht="21" customHeight="1" x14ac:dyDescent="0.25">
      <c r="A81" s="11"/>
      <c r="B81" s="12"/>
      <c r="C81" s="12"/>
      <c r="D81" s="12"/>
      <c r="E81" s="10"/>
      <c r="F81" s="11"/>
      <c r="G81" s="10"/>
      <c r="H81" s="11"/>
      <c r="I81" s="5"/>
      <c r="J81" s="19"/>
    </row>
    <row r="82" spans="1:10" ht="21" customHeight="1" x14ac:dyDescent="0.25">
      <c r="A82" s="11"/>
      <c r="B82" s="12"/>
      <c r="C82" s="12"/>
      <c r="D82" s="12"/>
      <c r="E82" s="10"/>
      <c r="F82" s="11"/>
      <c r="G82" s="10"/>
      <c r="H82" s="11"/>
      <c r="I82" s="5"/>
      <c r="J82" s="19"/>
    </row>
    <row r="83" spans="1:10" ht="21" customHeight="1" x14ac:dyDescent="0.25">
      <c r="A83" s="11"/>
      <c r="B83" s="12"/>
      <c r="C83" s="12"/>
      <c r="D83" s="12"/>
      <c r="E83" s="10"/>
      <c r="F83" s="11"/>
      <c r="G83" s="10"/>
      <c r="H83" s="11"/>
      <c r="I83" s="5"/>
      <c r="J83" s="19"/>
    </row>
    <row r="84" spans="1:10" ht="21" customHeight="1" x14ac:dyDescent="0.25">
      <c r="A84" s="11"/>
      <c r="B84" s="12"/>
      <c r="C84" s="12"/>
      <c r="D84" s="12"/>
      <c r="E84" s="10"/>
      <c r="F84" s="11"/>
      <c r="G84" s="10"/>
      <c r="H84" s="11"/>
      <c r="I84" s="5"/>
      <c r="J84" s="19"/>
    </row>
    <row r="85" spans="1:10" ht="21" customHeight="1" x14ac:dyDescent="0.25">
      <c r="A85" s="11"/>
      <c r="B85" s="12"/>
      <c r="C85" s="12"/>
      <c r="D85" s="12"/>
      <c r="E85" s="10"/>
      <c r="F85" s="11"/>
      <c r="G85" s="10"/>
      <c r="H85" s="11"/>
      <c r="I85" s="5"/>
      <c r="J85" s="19"/>
    </row>
    <row r="86" spans="1:10" ht="21" customHeight="1" x14ac:dyDescent="0.25">
      <c r="A86" s="11"/>
      <c r="B86" s="12"/>
      <c r="C86" s="12"/>
      <c r="D86" s="12"/>
      <c r="E86" s="10"/>
      <c r="F86" s="11"/>
      <c r="G86" s="10"/>
      <c r="H86" s="11"/>
      <c r="I86" s="5"/>
      <c r="J86" s="19"/>
    </row>
    <row r="87" spans="1:10" ht="21" customHeight="1" x14ac:dyDescent="0.25">
      <c r="A87" s="11"/>
      <c r="B87" s="12"/>
      <c r="C87" s="12"/>
      <c r="D87" s="12"/>
      <c r="E87" s="10"/>
      <c r="F87" s="11"/>
      <c r="G87" s="10"/>
      <c r="H87" s="11"/>
      <c r="I87" s="5"/>
      <c r="J87" s="19"/>
    </row>
    <row r="88" spans="1:10" ht="21" customHeight="1" x14ac:dyDescent="0.25">
      <c r="A88" s="11"/>
      <c r="B88" s="12"/>
      <c r="C88" s="12"/>
      <c r="D88" s="12"/>
      <c r="E88" s="10"/>
      <c r="F88" s="11"/>
      <c r="G88" s="10"/>
      <c r="H88" s="11"/>
      <c r="I88" s="5"/>
      <c r="J88" s="19"/>
    </row>
    <row r="89" spans="1:10" ht="21" customHeight="1" x14ac:dyDescent="0.25">
      <c r="A89" s="11"/>
      <c r="B89" s="12"/>
      <c r="C89" s="12"/>
      <c r="D89" s="12"/>
      <c r="E89" s="10"/>
      <c r="F89" s="11"/>
      <c r="G89" s="10"/>
      <c r="H89" s="11"/>
      <c r="I89" s="5"/>
      <c r="J89" s="19"/>
    </row>
    <row r="90" spans="1:10" ht="21" customHeight="1" x14ac:dyDescent="0.25">
      <c r="A90" s="11"/>
      <c r="B90" s="12"/>
      <c r="C90" s="12"/>
      <c r="D90" s="12"/>
      <c r="E90" s="10"/>
      <c r="F90" s="11"/>
      <c r="G90" s="10"/>
      <c r="H90" s="11"/>
      <c r="I90" s="5"/>
      <c r="J90" s="19"/>
    </row>
    <row r="91" spans="1:10" ht="21" customHeight="1" x14ac:dyDescent="0.25">
      <c r="A91" s="11"/>
      <c r="B91" s="12"/>
      <c r="C91" s="12"/>
      <c r="D91" s="12"/>
      <c r="E91" s="10"/>
      <c r="F91" s="11"/>
      <c r="G91" s="10"/>
      <c r="H91" s="11"/>
      <c r="I91" s="5"/>
      <c r="J91" s="19"/>
    </row>
    <row r="92" spans="1:10" ht="21" customHeight="1" x14ac:dyDescent="0.25">
      <c r="A92" s="11"/>
      <c r="B92" s="12"/>
      <c r="C92" s="12"/>
      <c r="D92" s="12"/>
      <c r="E92" s="10"/>
      <c r="F92" s="11"/>
      <c r="G92" s="10"/>
      <c r="H92" s="11"/>
      <c r="I92" s="5"/>
      <c r="J92" s="19"/>
    </row>
    <row r="93" spans="1:10" ht="21" customHeight="1" x14ac:dyDescent="0.25">
      <c r="A93" s="11"/>
      <c r="B93" s="12"/>
      <c r="C93" s="12"/>
      <c r="D93" s="12"/>
      <c r="E93" s="10"/>
      <c r="F93" s="11"/>
      <c r="G93" s="10"/>
      <c r="H93" s="11"/>
      <c r="I93" s="5"/>
      <c r="J93" s="19"/>
    </row>
    <row r="94" spans="1:10" ht="21" customHeight="1" x14ac:dyDescent="0.25">
      <c r="A94" s="11"/>
      <c r="B94" s="12"/>
      <c r="C94" s="12"/>
      <c r="D94" s="12"/>
      <c r="E94" s="10"/>
      <c r="F94" s="11"/>
      <c r="G94" s="10"/>
      <c r="H94" s="11"/>
      <c r="I94" s="5"/>
      <c r="J94" s="19"/>
    </row>
    <row r="95" spans="1:10" ht="21" customHeight="1" x14ac:dyDescent="0.25">
      <c r="A95" s="11"/>
      <c r="B95" s="12"/>
      <c r="C95" s="12"/>
      <c r="D95" s="12"/>
      <c r="E95" s="10"/>
      <c r="F95" s="11"/>
      <c r="G95" s="10"/>
      <c r="H95" s="11"/>
      <c r="I95" s="5"/>
      <c r="J95" s="19"/>
    </row>
    <row r="96" spans="1:10" ht="21" customHeight="1" x14ac:dyDescent="0.25">
      <c r="A96" s="11"/>
      <c r="B96" s="12"/>
      <c r="C96" s="12"/>
      <c r="D96" s="12"/>
      <c r="E96" s="10"/>
      <c r="F96" s="11"/>
      <c r="G96" s="10"/>
      <c r="H96" s="11"/>
      <c r="I96" s="5"/>
      <c r="J96" s="19"/>
    </row>
    <row r="97" spans="1:10" ht="21" customHeight="1" x14ac:dyDescent="0.25">
      <c r="A97" s="11"/>
      <c r="B97" s="12"/>
      <c r="C97" s="12"/>
      <c r="D97" s="12"/>
      <c r="E97" s="10"/>
      <c r="F97" s="11"/>
      <c r="G97" s="10"/>
      <c r="H97" s="11"/>
      <c r="I97" s="5"/>
      <c r="J97" s="19"/>
    </row>
    <row r="98" spans="1:10" ht="21" customHeight="1" x14ac:dyDescent="0.25">
      <c r="A98" s="11"/>
      <c r="B98" s="12"/>
      <c r="C98" s="12"/>
      <c r="D98" s="12"/>
      <c r="E98" s="10"/>
      <c r="F98" s="11"/>
      <c r="G98" s="10"/>
      <c r="H98" s="11"/>
      <c r="I98" s="5"/>
      <c r="J98" s="19"/>
    </row>
    <row r="99" spans="1:10" ht="21" customHeight="1" x14ac:dyDescent="0.25">
      <c r="A99" s="11"/>
      <c r="B99" s="12"/>
      <c r="C99" s="12"/>
      <c r="D99" s="12"/>
      <c r="E99" s="10"/>
      <c r="F99" s="11"/>
      <c r="G99" s="10"/>
      <c r="H99" s="11"/>
      <c r="I99" s="5"/>
      <c r="J99" s="19"/>
    </row>
    <row r="100" spans="1:10" ht="21" customHeight="1" x14ac:dyDescent="0.25">
      <c r="A100" s="11"/>
      <c r="B100" s="12"/>
      <c r="C100" s="12"/>
      <c r="D100" s="12"/>
      <c r="E100" s="10"/>
      <c r="F100" s="11"/>
      <c r="G100" s="10"/>
      <c r="H100" s="11"/>
      <c r="I100" s="5"/>
      <c r="J100" s="19"/>
    </row>
    <row r="101" spans="1:10" ht="21" customHeight="1" x14ac:dyDescent="0.25">
      <c r="A101" s="11"/>
      <c r="B101" s="12"/>
      <c r="C101" s="12"/>
      <c r="D101" s="12"/>
      <c r="E101" s="10"/>
      <c r="F101" s="11"/>
      <c r="G101" s="10"/>
      <c r="H101" s="11"/>
      <c r="I101" s="5"/>
      <c r="J101" s="19"/>
    </row>
    <row r="102" spans="1:10" ht="21" customHeight="1" x14ac:dyDescent="0.25">
      <c r="A102" s="11"/>
      <c r="B102" s="12"/>
      <c r="C102" s="12"/>
      <c r="D102" s="12"/>
      <c r="E102" s="10"/>
      <c r="F102" s="11"/>
      <c r="G102" s="10"/>
      <c r="H102" s="11"/>
      <c r="I102" s="5"/>
      <c r="J102" s="19"/>
    </row>
    <row r="103" spans="1:10" ht="21" customHeight="1" x14ac:dyDescent="0.25">
      <c r="A103" s="11"/>
      <c r="B103" s="12"/>
      <c r="C103" s="12"/>
      <c r="D103" s="12"/>
      <c r="E103" s="10"/>
      <c r="F103" s="11"/>
      <c r="G103" s="10"/>
      <c r="H103" s="11"/>
      <c r="I103" s="5"/>
      <c r="J103" s="19"/>
    </row>
    <row r="104" spans="1:10" ht="21" customHeight="1" x14ac:dyDescent="0.25">
      <c r="A104" s="11"/>
      <c r="B104" s="12"/>
      <c r="C104" s="12"/>
      <c r="D104" s="12"/>
      <c r="E104" s="10"/>
      <c r="F104" s="11"/>
      <c r="G104" s="10"/>
      <c r="H104" s="11"/>
      <c r="I104" s="5"/>
      <c r="J104" s="19"/>
    </row>
    <row r="105" spans="1:10" ht="21" customHeight="1" x14ac:dyDescent="0.25">
      <c r="A105" s="11"/>
      <c r="B105" s="12"/>
      <c r="C105" s="12"/>
      <c r="D105" s="12"/>
      <c r="E105" s="10"/>
      <c r="F105" s="11"/>
      <c r="G105" s="10"/>
      <c r="H105" s="11"/>
      <c r="I105" s="5"/>
      <c r="J105" s="19"/>
    </row>
    <row r="106" spans="1:10" ht="21" customHeight="1" x14ac:dyDescent="0.25">
      <c r="B106" s="12"/>
      <c r="C106" s="12"/>
      <c r="D106" s="12"/>
      <c r="E106" s="10"/>
      <c r="F106" s="11"/>
      <c r="G106" s="10"/>
      <c r="H106" s="11"/>
      <c r="I106" s="5"/>
      <c r="J106" s="19"/>
    </row>
    <row r="107" spans="1:10" ht="21" customHeight="1" x14ac:dyDescent="0.25">
      <c r="B107" s="12"/>
      <c r="C107" s="12"/>
      <c r="D107" s="12"/>
      <c r="E107" s="10"/>
      <c r="F107" s="11"/>
      <c r="G107" s="10"/>
      <c r="H107" s="11"/>
      <c r="I107" s="5"/>
      <c r="J107" s="19"/>
    </row>
  </sheetData>
  <mergeCells count="9">
    <mergeCell ref="A42:I42"/>
    <mergeCell ref="I1:J1"/>
    <mergeCell ref="B1:H1"/>
    <mergeCell ref="B25:B27"/>
    <mergeCell ref="B15:B17"/>
    <mergeCell ref="B22:B24"/>
    <mergeCell ref="B28:B29"/>
    <mergeCell ref="B34:B41"/>
    <mergeCell ref="B5:B14"/>
  </mergeCells>
  <printOptions horizontalCentered="1"/>
  <pageMargins left="0.23622047244094491" right="0.23622047244094491" top="0.23622047244094491" bottom="0.23622047244094491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Frozen Food</vt:lpstr>
      <vt:lpstr>Beverages</vt:lpstr>
      <vt:lpstr>Groceries &amp; Breakfast</vt:lpstr>
      <vt:lpstr>Rice &amp; Oil</vt:lpstr>
      <vt:lpstr>Canned Food &amp; Condiment</vt:lpstr>
      <vt:lpstr>Snacks </vt:lpstr>
      <vt:lpstr>Tissue &amp; Others</vt:lpstr>
      <vt:lpstr>Cleaning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suah chee wei</cp:lastModifiedBy>
  <cp:revision>1</cp:revision>
  <cp:lastPrinted>2019-08-19T07:46:43Z</cp:lastPrinted>
  <dcterms:created xsi:type="dcterms:W3CDTF">2017-04-01T13:39:00Z</dcterms:created>
  <dcterms:modified xsi:type="dcterms:W3CDTF">2026-04-14T15:35:06Z</dcterms:modified>
</cp:coreProperties>
</file>
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e_\Documents\Chee Repo\updatePos\updatePOSitems\"/>
    </mc:Choice>
  </mc:AlternateContent>
  <xr:revisionPtr revIDLastSave="0" documentId="13_ncr:1_{2740A321-BAF2-4D4E-B8C5-99D402845273}" xr6:coauthVersionLast="47" xr6:coauthVersionMax="47" xr10:uidLastSave="{00000000-0000-0000-0000-000000000000}"/>
  <bookViews>
    <workbookView xWindow="-120" yWindow="-120" windowWidth="29040" windowHeight="15720" tabRatio="832" activeTab="8" xr2:uid="{360EAA5A-DCF2-459B-8A72-939FDEB78E77}"/>
  </bookViews>
  <sheets>
    <sheet name="Summary" sheetId="1" r:id="rId1"/>
    <sheet name="Frozen Food" sheetId="2" r:id="rId2"/>
    <sheet name="Beverages" sheetId="3" r:id="rId3"/>
    <sheet name="Groceries &amp; Breakfast" sheetId="4" r:id="rId4"/>
    <sheet name="Rice &amp; Oil" sheetId="7" r:id="rId5"/>
    <sheet name="Canned Food &amp; Condiment" sheetId="5" r:id="rId6"/>
    <sheet name="Snacks " sheetId="10" r:id="rId7"/>
    <sheet name="Tissue &amp; Others" sheetId="6" r:id="rId8"/>
    <sheet name="Cleaning Agent" sheetId="8" r:id="rId9"/>
  </sheets>
  <calcPr calcId="191029"/>
</workbook>
</file>

<file path=xl/calcChain.xml><?xml version="1.0" encoding="utf-8"?>
<calcChain xmlns="http://schemas.openxmlformats.org/spreadsheetml/2006/main">
  <c r="C14" i="1" l="1"/>
  <c r="J41" i="8"/>
  <c r="J12" i="8"/>
  <c r="J13" i="8"/>
  <c r="J14" i="8"/>
  <c r="J15" i="8"/>
  <c r="J7" i="6"/>
  <c r="J8" i="6"/>
  <c r="J9" i="6"/>
  <c r="J30" i="10"/>
  <c r="J9" i="10"/>
  <c r="J10" i="10"/>
  <c r="J11" i="10"/>
  <c r="J19" i="10"/>
  <c r="J20" i="10"/>
  <c r="J26" i="10"/>
  <c r="J27" i="10"/>
  <c r="J28" i="10"/>
  <c r="J29" i="10"/>
  <c r="I32" i="5"/>
  <c r="I15" i="5"/>
  <c r="I10" i="5"/>
  <c r="J4" i="5"/>
  <c r="J36" i="5"/>
  <c r="J9" i="5"/>
  <c r="J10" i="5"/>
  <c r="J35" i="7"/>
  <c r="I33" i="7"/>
  <c r="I10" i="7"/>
  <c r="I8" i="7"/>
  <c r="J25" i="7"/>
  <c r="J26" i="7"/>
  <c r="J16" i="7"/>
  <c r="J17" i="7"/>
  <c r="I25" i="4"/>
  <c r="J25" i="4"/>
  <c r="I15" i="4"/>
  <c r="J11" i="4"/>
  <c r="J27" i="3"/>
  <c r="J22" i="3"/>
  <c r="J4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32" i="5"/>
  <c r="J4" i="8"/>
  <c r="J4" i="6"/>
  <c r="J4" i="10"/>
  <c r="J4" i="7"/>
  <c r="J4" i="4"/>
  <c r="J4" i="3"/>
  <c r="J4" i="2"/>
  <c r="J33" i="5"/>
  <c r="J5" i="5"/>
  <c r="J6" i="5"/>
  <c r="J7" i="5"/>
  <c r="J8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38" i="5"/>
  <c r="J27" i="5"/>
  <c r="J28" i="5"/>
  <c r="J29" i="5"/>
  <c r="J30" i="5"/>
  <c r="J31" i="5"/>
  <c r="J34" i="5"/>
  <c r="J35" i="5"/>
  <c r="J37" i="5"/>
  <c r="J35" i="8"/>
  <c r="J36" i="8"/>
  <c r="J37" i="8"/>
  <c r="J30" i="8"/>
  <c r="J31" i="8"/>
  <c r="J32" i="8"/>
  <c r="J33" i="8"/>
  <c r="J27" i="6"/>
  <c r="J28" i="6"/>
  <c r="J29" i="6"/>
  <c r="J30" i="6"/>
  <c r="J31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32" i="6"/>
  <c r="J33" i="6"/>
  <c r="J34" i="6"/>
  <c r="J35" i="6"/>
  <c r="J36" i="6"/>
  <c r="J37" i="6"/>
  <c r="J38" i="6"/>
  <c r="J39" i="6"/>
  <c r="J33" i="7"/>
  <c r="J31" i="7"/>
  <c r="J32" i="7"/>
  <c r="J15" i="7"/>
  <c r="J18" i="7"/>
  <c r="J19" i="7"/>
  <c r="J16" i="4"/>
  <c r="J17" i="4"/>
  <c r="J18" i="4"/>
  <c r="J18" i="3"/>
  <c r="J19" i="3"/>
  <c r="J20" i="3"/>
  <c r="J21" i="3"/>
  <c r="J23" i="3"/>
  <c r="J24" i="3"/>
  <c r="J25" i="3"/>
  <c r="J18" i="10"/>
  <c r="J21" i="10"/>
  <c r="J22" i="10"/>
  <c r="J10" i="7"/>
  <c r="J7" i="7"/>
  <c r="J8" i="7"/>
  <c r="J9" i="7"/>
  <c r="J11" i="7"/>
  <c r="J15" i="3"/>
  <c r="J6" i="3"/>
  <c r="J7" i="3"/>
  <c r="J8" i="3"/>
  <c r="J9" i="3"/>
  <c r="J10" i="3"/>
  <c r="J11" i="3"/>
  <c r="J12" i="3"/>
  <c r="J13" i="3"/>
  <c r="J6" i="7"/>
  <c r="J14" i="10"/>
  <c r="J15" i="10"/>
  <c r="J24" i="8"/>
  <c r="J25" i="8"/>
  <c r="J26" i="8"/>
  <c r="J27" i="8"/>
  <c r="J9" i="8"/>
  <c r="J10" i="8"/>
  <c r="J11" i="8"/>
  <c r="J16" i="3"/>
  <c r="J17" i="3"/>
  <c r="J21" i="7"/>
  <c r="J22" i="7"/>
  <c r="J23" i="7"/>
  <c r="J24" i="7"/>
  <c r="J27" i="7"/>
  <c r="J28" i="7"/>
  <c r="J27" i="4"/>
  <c r="J28" i="4"/>
  <c r="J23" i="10"/>
  <c r="J26" i="4"/>
  <c r="J19" i="4"/>
  <c r="J20" i="4"/>
  <c r="J21" i="4"/>
  <c r="J22" i="4"/>
  <c r="J23" i="4"/>
  <c r="J38" i="8"/>
  <c r="J39" i="8"/>
  <c r="J40" i="8"/>
  <c r="J18" i="8"/>
  <c r="J20" i="7"/>
  <c r="J29" i="7"/>
  <c r="J30" i="7"/>
  <c r="I1" i="2"/>
  <c r="J5" i="2"/>
  <c r="I1" i="3"/>
  <c r="J5" i="3"/>
  <c r="J14" i="3"/>
  <c r="J26" i="3"/>
  <c r="I1" i="4"/>
  <c r="J5" i="4"/>
  <c r="J6" i="4"/>
  <c r="J7" i="4"/>
  <c r="J8" i="4"/>
  <c r="J30" i="4"/>
  <c r="J9" i="4"/>
  <c r="J10" i="4"/>
  <c r="J12" i="4"/>
  <c r="J13" i="4"/>
  <c r="J14" i="4"/>
  <c r="J24" i="4"/>
  <c r="J29" i="4"/>
  <c r="I1" i="7"/>
  <c r="J5" i="7"/>
  <c r="J12" i="7"/>
  <c r="J13" i="7"/>
  <c r="J14" i="7"/>
  <c r="J34" i="7"/>
  <c r="I1" i="5"/>
  <c r="I1" i="10"/>
  <c r="J5" i="10"/>
  <c r="J6" i="10"/>
  <c r="J7" i="10"/>
  <c r="J8" i="10"/>
  <c r="J12" i="10"/>
  <c r="J13" i="10"/>
  <c r="J16" i="10"/>
  <c r="J17" i="10"/>
  <c r="J24" i="10"/>
  <c r="J25" i="10"/>
  <c r="I1" i="6"/>
  <c r="J5" i="6"/>
  <c r="J6" i="6"/>
  <c r="I1" i="8"/>
  <c r="J5" i="8"/>
  <c r="J6" i="8"/>
  <c r="J7" i="8"/>
  <c r="J8" i="8"/>
  <c r="J16" i="8"/>
  <c r="J17" i="8"/>
  <c r="J19" i="8"/>
  <c r="J20" i="8"/>
  <c r="J21" i="8"/>
  <c r="J22" i="8"/>
  <c r="J23" i="8"/>
  <c r="J28" i="8"/>
  <c r="J29" i="8"/>
  <c r="J34" i="8"/>
  <c r="J15" i="4"/>
  <c r="C13" i="1"/>
  <c r="J40" i="6"/>
  <c r="C12" i="1"/>
  <c r="C11" i="1"/>
  <c r="C10" i="1"/>
  <c r="C9" i="1"/>
  <c r="C8" i="1"/>
  <c r="C7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karynn_heng</author>
  </authors>
  <commentList>
    <comment ref="C2" authorId="0" shapeId="0" xr:uid="{4B8A1FFD-BE03-4C58-8AF7-5E429830B4B2}">
      <text>
        <r>
          <rPr>
            <b/>
            <sz val="11"/>
            <color indexed="81"/>
            <rFont val="Tahoma"/>
            <family val="2"/>
          </rPr>
          <t>karynn_heng:</t>
        </r>
        <r>
          <rPr>
            <sz val="11"/>
            <color indexed="81"/>
            <rFont val="Tahoma"/>
            <family val="2"/>
          </rPr>
          <t xml:space="preserve">
766pax</t>
        </r>
      </text>
    </comment>
  </commentList>
</comments>
</file>

<file path=xl/sharedStrings.xml><?xml version="1.0" encoding="utf-8"?>
<sst xmlns="http://schemas.openxmlformats.org/spreadsheetml/2006/main" count="497" uniqueCount="397">
  <si>
    <t>Ver 2</t>
  </si>
  <si>
    <t>Location</t>
  </si>
  <si>
    <t>Date</t>
  </si>
  <si>
    <t>Supplies for:</t>
  </si>
  <si>
    <t>Date quoted:</t>
  </si>
  <si>
    <t>S/No</t>
  </si>
  <si>
    <t>Worksheet</t>
  </si>
  <si>
    <t>Sub Total</t>
  </si>
  <si>
    <t>Frozen Food</t>
  </si>
  <si>
    <t>Beverages</t>
  </si>
  <si>
    <t>Groceries &amp; Breakfast</t>
  </si>
  <si>
    <t>Canned Food</t>
  </si>
  <si>
    <t>Tissue &amp; Others</t>
  </si>
  <si>
    <t>Rice &amp; Oil</t>
  </si>
  <si>
    <t>Cleaning Agent</t>
  </si>
  <si>
    <t>Snacks</t>
  </si>
  <si>
    <t>Total</t>
  </si>
  <si>
    <t>Type</t>
  </si>
  <si>
    <t>Barcode</t>
  </si>
  <si>
    <t>Item Code</t>
  </si>
  <si>
    <t>Brand and Product Description</t>
  </si>
  <si>
    <t>Price</t>
  </si>
  <si>
    <t>Unit Price</t>
  </si>
  <si>
    <t>Beginning Units</t>
  </si>
  <si>
    <t>Total Cost</t>
  </si>
  <si>
    <t>Eggs</t>
  </si>
  <si>
    <t>C.Fruits</t>
  </si>
  <si>
    <t>Paper Products &amp; Others</t>
  </si>
  <si>
    <t>Bathroom Tissue</t>
  </si>
  <si>
    <t>Cleaner - Others</t>
  </si>
  <si>
    <t>Item No.</t>
  </si>
  <si>
    <t>SNM</t>
  </si>
  <si>
    <t>TN</t>
  </si>
  <si>
    <t>Tampines North</t>
  </si>
  <si>
    <t>T/BITES ROTI PRATA PLAIN 325G</t>
  </si>
  <si>
    <t>H/FAMILY VINEGAR 5L</t>
  </si>
  <si>
    <t>8888626065106</t>
  </si>
  <si>
    <t>8888626065113</t>
  </si>
  <si>
    <t>8888626095691</t>
  </si>
  <si>
    <t>8888626044101</t>
  </si>
  <si>
    <t>8888626069425</t>
  </si>
  <si>
    <t>8888626025025</t>
  </si>
  <si>
    <t>8888626025032</t>
  </si>
  <si>
    <t>8888626040776</t>
  </si>
  <si>
    <t>SOFTESS P/P JRT 2PLY 4X180M</t>
  </si>
  <si>
    <t>8888626066493</t>
  </si>
  <si>
    <t>8888626066486</t>
  </si>
  <si>
    <t>8888626102726</t>
  </si>
  <si>
    <t>8888626093864</t>
  </si>
  <si>
    <t>8888626093840</t>
  </si>
  <si>
    <t>8888626093857</t>
  </si>
  <si>
    <t>8888626093888</t>
  </si>
  <si>
    <t xml:space="preserve">H/FAMILY GROUNDNUT OIL 2L </t>
  </si>
  <si>
    <t xml:space="preserve">SOFTESS ADULT BODY WIPES(FRAG FREE)40S </t>
  </si>
  <si>
    <t>H/FAMILY YEE MEE 375G</t>
  </si>
  <si>
    <t xml:space="preserve">Pack Size </t>
  </si>
  <si>
    <t>Pack Size</t>
  </si>
  <si>
    <t>ROYAL G/MALI PREMIUM FRAGRANT RICE 5KG</t>
  </si>
  <si>
    <t>H/FAMILY VINEGAR 640ML</t>
  </si>
  <si>
    <t>8888626086026</t>
  </si>
  <si>
    <t>DRIED SHRIMP(F5)100G</t>
  </si>
  <si>
    <t>GOLDEN SWISS KANIMI CHUNK 180G</t>
  </si>
  <si>
    <t>HOMENIKS AB DETERGENT POWDER 5KG</t>
  </si>
  <si>
    <t>SOFTESS AB WET WIPES FRAGRANCE FREE 50S</t>
  </si>
  <si>
    <t>HERITAGE FARM BASMATI RICE 5KG</t>
  </si>
  <si>
    <t>HOMENIKS DISINFECTING WIPES FRESH 75S</t>
  </si>
  <si>
    <t>HOMENIKS BLEACH 3.8L</t>
  </si>
  <si>
    <t>HOMENIKS PINE DISINFECTANT 2L</t>
  </si>
  <si>
    <t>TASTY BITES PRAWN PASTE CKN WING 700G</t>
  </si>
  <si>
    <t>TASTY BITES CHEEZY CHICKEN MEATBALL 350G</t>
  </si>
  <si>
    <t>Sree Narayana Mission/ Yishun</t>
  </si>
  <si>
    <t>BAKE FOR YOU HEONG PEAH (ORIGINAL) 360G</t>
  </si>
  <si>
    <t>HOMENIKS FABRIC SOFTENER FLORAL(REF)1.8L</t>
  </si>
  <si>
    <t>HERITAGE SINGAPORE FARM EGGS 10+2S(660G)</t>
  </si>
  <si>
    <t>HOMENIKS GLASS CLEANER 500ML+REF(ICOOL)</t>
  </si>
  <si>
    <t>HERITAGE FARM P/CHIPS ORIGINAL 60G</t>
  </si>
  <si>
    <t>HERITAGE FARM P/CHIPS HOT&amp;SPICY 60G</t>
  </si>
  <si>
    <t>8888626103327</t>
  </si>
  <si>
    <t>8888626103310</t>
  </si>
  <si>
    <t>BAKE FOR YOU JUMBO ENRICHED W/BREAD 600G</t>
  </si>
  <si>
    <t>BAKE FOR YOU J/ENRICHED W/M W/BREAD 600G</t>
  </si>
  <si>
    <t>Spread</t>
  </si>
  <si>
    <t xml:space="preserve">Snacks </t>
  </si>
  <si>
    <t>Bread</t>
  </si>
  <si>
    <t>HOMENIKS DISHWASHING LEMON 5L</t>
  </si>
  <si>
    <t>SOFTESS P/P TRAVEL P/TISS 3PX4X50S(KITTY)</t>
  </si>
  <si>
    <t>HOMENIKS AB TOILET CLEANER-LEMON 3X500ML</t>
  </si>
  <si>
    <t>Toilet Cleaner</t>
  </si>
  <si>
    <t>Glass Cleaner</t>
  </si>
  <si>
    <t>ROYAL G/GRAIN PREMIUM FRAG RICE 5KG</t>
  </si>
  <si>
    <t>HAPPY FAMILY BROWN RICE 1.8KG</t>
  </si>
  <si>
    <t>HERITAGE FARM SLICED NOODLES 600G</t>
  </si>
  <si>
    <t>HERITAGE FARM RAMEN NOODLES 600G</t>
  </si>
  <si>
    <t>Bleach</t>
  </si>
  <si>
    <t>T/BITES PIZZA HAWAIIAN 2S</t>
  </si>
  <si>
    <t>T/BITES PIZZA CLASSIC CHEESE 2S</t>
  </si>
  <si>
    <t>DOUX CHEESE CKN FRANKS 400G</t>
  </si>
  <si>
    <t>FRUIT KING LYCHEE IN SYRUP 565G</t>
  </si>
  <si>
    <t>Canned Food &amp; Condiment</t>
  </si>
  <si>
    <t>HOMENIKS WET WIPER SHEET 15S(LAVENDER)</t>
  </si>
  <si>
    <t>H/FAMILY MARIE BISCUIT 240G</t>
  </si>
  <si>
    <t>T/BITES CRISPY CKN W BC WRAP 450G</t>
  </si>
  <si>
    <t>HERITAGE FARM 3IN1 CEREAL&amp;OAT DRK 18X30G</t>
  </si>
  <si>
    <t>HOMENIKS M/PURPOSE CLEANER(FLORAL)2L</t>
  </si>
  <si>
    <t>H/FAMILY MULTIGRAIN CRACKERS 440G</t>
  </si>
  <si>
    <t>Pizza</t>
  </si>
  <si>
    <t>ROYAL G/GRAIN TAIWAN PEARL RICE 5KG</t>
  </si>
  <si>
    <t>HAPPY FAMILY RICE BRAN OIL 5L</t>
  </si>
  <si>
    <t>HOMENIKS FABRIC SOFTENER LAV(REF)1.8L</t>
  </si>
  <si>
    <t>H/FAMILY SARDINE IN TOMATO SAUCE 425G</t>
  </si>
  <si>
    <t>H/FAMILY BAKED BEAN TMT SAUCE 425G</t>
  </si>
  <si>
    <t>H/FAMILY WHOLE MUSHROOMS 425G</t>
  </si>
  <si>
    <t>H/FAMILY CHILLI SAUCE 500G</t>
  </si>
  <si>
    <t>H/FAMILY TOMATO SAUCE 485G</t>
  </si>
  <si>
    <t>SOFTESS AB BODY WASH-GOAT MILK 900ML</t>
  </si>
  <si>
    <t>SOFTESS ADULT DIAPERS L 8S</t>
  </si>
  <si>
    <t>SOFTESS ADULT DIAPERS M 10S</t>
  </si>
  <si>
    <t>HOMENIKS PINE DISINFECTANT 5L</t>
  </si>
  <si>
    <t>HOMENIKS STAIN REMOVER 1L</t>
  </si>
  <si>
    <t>H/FAMILY CREAM CRACKERS 8S 176G</t>
  </si>
  <si>
    <t>H/FAMILY EASI-COOK INSTANT NOODLES 700G</t>
  </si>
  <si>
    <t>H/FAMILY RED CARGO RICE VERMICELLI 400G</t>
  </si>
  <si>
    <t>H/FAMILY RICE VERMICELLI 400G</t>
  </si>
  <si>
    <t>Vermicelli</t>
  </si>
  <si>
    <t xml:space="preserve">Total </t>
  </si>
  <si>
    <t>Sardine</t>
  </si>
  <si>
    <t>BodyWash</t>
  </si>
  <si>
    <t>Rice</t>
  </si>
  <si>
    <t xml:space="preserve">C.Mushroom </t>
  </si>
  <si>
    <t>Crackers</t>
  </si>
  <si>
    <t>BL</t>
  </si>
  <si>
    <t xml:space="preserve">Boon Lay  </t>
  </si>
  <si>
    <t>LK</t>
  </si>
  <si>
    <t xml:space="preserve">Leng Kee </t>
  </si>
  <si>
    <t>PC</t>
  </si>
  <si>
    <t xml:space="preserve">Punggol </t>
  </si>
  <si>
    <t>FERNLEAF FULL CREAM MILK POWDER 550G</t>
  </si>
  <si>
    <t>H/FAMILY FINE SUGAR 1KG</t>
  </si>
  <si>
    <t>BAKE FOR YOU PEANUT BUTTER CRUNCHY 510G</t>
  </si>
  <si>
    <t>SOFTESS P/P BR TIS 3PLY 3X10X200S(GRN)</t>
  </si>
  <si>
    <t>H/FAMILY SOYA BEAN OIL 2L</t>
  </si>
  <si>
    <t>H/FAMILY SUNFLOWER OIL 3L</t>
  </si>
  <si>
    <t>MARIGOLD UHT CHOCO MILK 1L</t>
  </si>
  <si>
    <t>BAKE FOR YOU NONYA KAYA 400G</t>
  </si>
  <si>
    <t>HOMENIKS AB DETERGENT POWDER 1KG</t>
  </si>
  <si>
    <t>Creamer</t>
  </si>
  <si>
    <t xml:space="preserve"> 8888626149684</t>
  </si>
  <si>
    <t>HOMENIKS H/DUTY CELLULOSE SCOURER-3S</t>
  </si>
  <si>
    <t xml:space="preserve"> 8888626149660</t>
  </si>
  <si>
    <t>HOMENIKS SPONGE SCOURER REGULAR-4S</t>
  </si>
  <si>
    <t>HERITAGE FARM MILK TEA 15X36G</t>
  </si>
  <si>
    <t>HOMENIKS GEL HAND SOAP(LAVENDER)500ML</t>
  </si>
  <si>
    <t>8888026443023 / 9557305000552</t>
  </si>
  <si>
    <t>H/FAMILY BRAISED PEANUTS 170G</t>
  </si>
  <si>
    <t>SOFTESS P/P POCKET TISSUE 3PLY 6X12X8S</t>
  </si>
  <si>
    <t>HERITAGE FARM INSTANT OAT 1KG</t>
  </si>
  <si>
    <t>Underpad</t>
  </si>
  <si>
    <t>T/BITES ROASTED CKN YAKITORI(TERIYAKI)</t>
  </si>
  <si>
    <t>Dried Food</t>
  </si>
  <si>
    <t>H/FAMILY FRAGRANT JASMINE RICE5KG(VAC)</t>
  </si>
  <si>
    <t>H/FAMILY PICKLED LETTUCE 170G</t>
  </si>
  <si>
    <t>HAPPY FAMILY RICE BRAN OIL 2L</t>
  </si>
  <si>
    <t>T/BITES ROASTED CKN HOT WINGSTICK 1KG</t>
  </si>
  <si>
    <t>HAPPY FAMILY FRESH JAPANESE UDON 200G</t>
  </si>
  <si>
    <t>8888026303037 / 8888026303105</t>
  </si>
  <si>
    <t>DAWN SWEETENER 380G</t>
  </si>
  <si>
    <t>H/FAMILY HIMALAYAN PINK SALT 400G</t>
  </si>
  <si>
    <t>Baby Diaper</t>
  </si>
  <si>
    <t>Adult Diaper</t>
  </si>
  <si>
    <t>MARIGOLD ASIAN DRINK SOYABEAN L/SWEET 1L</t>
  </si>
  <si>
    <t>H/FAMILY ORGANIC ROASTED CHESTNUTS 150G</t>
  </si>
  <si>
    <t>SOFTESS WET WIPES LAVENDER 4X10S</t>
  </si>
  <si>
    <t>ROYAL G/GRAIN THAI JASMINE BRW RICE2.5KG</t>
  </si>
  <si>
    <t>HAPPY FAMILY 3 MIXED CARGO RICE 1.8KG</t>
  </si>
  <si>
    <t xml:space="preserve">Detergent </t>
  </si>
  <si>
    <t xml:space="preserve">Seaweed </t>
  </si>
  <si>
    <t>Wipes</t>
  </si>
  <si>
    <t>Wiper Sheet</t>
  </si>
  <si>
    <t>Dishwashing Liquid</t>
  </si>
  <si>
    <t>8888626159829</t>
  </si>
  <si>
    <t xml:space="preserve">H/FARM SE/SEAWEED(PERILLA OIL)4GX8S </t>
  </si>
  <si>
    <t>HOMENIKS TRASH BAG 60X80CM(XL)1S-(FL)</t>
  </si>
  <si>
    <t>8888626160252</t>
  </si>
  <si>
    <t>HOMENIKS BAKING &amp; COOKING PAPER (10MX30CM)</t>
  </si>
  <si>
    <t>HERITAGE FARM ORG COCONUT WATER 1L</t>
  </si>
  <si>
    <t>Chestnut</t>
  </si>
  <si>
    <t>8888626114668</t>
  </si>
  <si>
    <t>H/FAMILY H/HOLIDAYS ASST BISCUITS 600G</t>
  </si>
  <si>
    <t>Trash Bag</t>
  </si>
  <si>
    <t>8888626161693</t>
  </si>
  <si>
    <t>ANLENE GOLD 5X PLAIN 550G</t>
  </si>
  <si>
    <t>T/BITES ROASTED CKN BUFFALO W/STICK 1KG</t>
  </si>
  <si>
    <t>HERITAGE FARM P/CHIPS BBQ 60G</t>
  </si>
  <si>
    <t xml:space="preserve">T/BITES SPICY CRISPY CKN NUGGETS 700G </t>
  </si>
  <si>
    <t>H/FAMILY NATURAL HONEY 1KG</t>
  </si>
  <si>
    <t>HOMENIKS AB KITCHEN WIPES 80S</t>
  </si>
  <si>
    <t>Dehumidifier</t>
  </si>
  <si>
    <t>T/BITES CURRY SAMOSA 500G</t>
  </si>
  <si>
    <t>Green Tea</t>
  </si>
  <si>
    <t>H/FAMILY VEGETABLE OIL 2L</t>
  </si>
  <si>
    <t xml:space="preserve">HERITAGE FARM CHOCO MALT DRINK 15SX30G </t>
  </si>
  <si>
    <t>HERITAGE FARM GREEN TEA 50X1.5G</t>
  </si>
  <si>
    <t>8888626005904</t>
  </si>
  <si>
    <t>FRUIT KING LONGAN IN SYRUP 565G</t>
  </si>
  <si>
    <t xml:space="preserve">H/FAMILY CHOCO CHIPS BISCUITS 160G </t>
  </si>
  <si>
    <t>Biscuits</t>
  </si>
  <si>
    <t xml:space="preserve">Popcorn </t>
  </si>
  <si>
    <t xml:space="preserve">T/BITES SIGNATURE RED BEAN BAO 360G </t>
  </si>
  <si>
    <t>8888626204260</t>
  </si>
  <si>
    <t>H/F DRIED MUSHROOM 4-5 BAI HUA 200G</t>
  </si>
  <si>
    <t>H/FAMILY CHICKEN INSTANT NOODLE 5X80G(N)</t>
  </si>
  <si>
    <t>Chips</t>
  </si>
  <si>
    <t>HERITAGE FARM PREMIUM S/COFFEE 200G+50G</t>
  </si>
  <si>
    <t>HERITAGE FARM CHOCO H'LNUT SPREAD 350G</t>
  </si>
  <si>
    <t>HERITAGE FARM PRE CANOLA S.FLOWER OIL 2L</t>
  </si>
  <si>
    <t>H/FAMILY VEGETABLE OIL 5L</t>
  </si>
  <si>
    <t>Oil</t>
  </si>
  <si>
    <t>H/FAMILY TUNA MAYONNAISE 170G</t>
  </si>
  <si>
    <t>HAPPY FAMILY NONYA SAMBAL CHILLI 250G</t>
  </si>
  <si>
    <t>HAPPY FAMILY 100% FRAG SESAME OIL 750ML</t>
  </si>
  <si>
    <t xml:space="preserve">H/FAMILY FRIED DACE(PRESER VEG)184G </t>
  </si>
  <si>
    <t xml:space="preserve">H/FAMILY FRIED DACE(BLACK BEANS)184G </t>
  </si>
  <si>
    <t>Tuna</t>
  </si>
  <si>
    <t>SOFTESS ABSORBENT UNDERPAD L 10S</t>
  </si>
  <si>
    <t xml:space="preserve">SOFTESS P/P BR TIS 4PLY(10+2)1.8KG </t>
  </si>
  <si>
    <t>T/BITES CRISPY CKN W SEAWEED 1KG</t>
  </si>
  <si>
    <t>T/BITES OTAK OTAK POCKET BUN(ORGN)300G</t>
  </si>
  <si>
    <t>T/BITES CRISPY CKN 1KG</t>
  </si>
  <si>
    <t xml:space="preserve">TASTY BITES PRAWN PASTE BALL 150G </t>
  </si>
  <si>
    <t>HAPPY FAMILY PONNI RICE 5KG</t>
  </si>
  <si>
    <t>8888626115108</t>
  </si>
  <si>
    <t>HERITAGE FARM EX VIRGIN OLIVE OIL 500ML</t>
  </si>
  <si>
    <t>888626167930</t>
  </si>
  <si>
    <t>HERITAGE FARM CLASSIC OLIVE OIL 1L</t>
  </si>
  <si>
    <t>HERITAGE FARM CLASSIC OLIVE OIL 2L</t>
  </si>
  <si>
    <t>8888626167923</t>
  </si>
  <si>
    <t>HERITAGE FARM CLASSIC OLIVE OIL 500ML</t>
  </si>
  <si>
    <t>HERITAGE FARM EXTRA LIGHT OLIVE OIL 2L</t>
  </si>
  <si>
    <t>H/FAMILY YFIN TUNA CHUNK IN SFOIL 170G</t>
  </si>
  <si>
    <t>H/FAMILY YFIN TUNA CHUNK IN BRINE 170G</t>
  </si>
  <si>
    <r>
      <t xml:space="preserve">H/FAMILY SPICY SUGAR C'FISH SNACK 40G </t>
    </r>
    <r>
      <rPr>
        <sz val="12"/>
        <color indexed="10"/>
        <rFont val="Calibri"/>
        <family val="2"/>
      </rPr>
      <t xml:space="preserve"> </t>
    </r>
  </si>
  <si>
    <t>SOFTESS P/P SOFTPACK TISS 3PLY 6X88S</t>
  </si>
  <si>
    <t>8888626160276</t>
  </si>
  <si>
    <t>HOMENIKS TRASH BAG 45X60CM(M)3S-(H/T)</t>
  </si>
  <si>
    <t>8888626160726</t>
  </si>
  <si>
    <t>HOMENIKS TRASH BAG 50X70CM(L)3S-(H/T)</t>
  </si>
  <si>
    <t>T/BITES CRISPY POPCORN CKN 450G</t>
  </si>
  <si>
    <t>T/BITES CRISPY CKN NUGGETS 700G</t>
  </si>
  <si>
    <t>8888626088563 / 8885008965559</t>
  </si>
  <si>
    <t>EGG FOR YOU FRESH EGG'S 30S (1650G) PEP</t>
  </si>
  <si>
    <t>H/FAMILY PLAIN FLOUR 1KG</t>
  </si>
  <si>
    <t>KARA COCONUT CREAM 200ML</t>
  </si>
  <si>
    <t>H/FAMILY CURRY INSTANT NOODLE 5X78G(N)</t>
  </si>
  <si>
    <t>HAPPY FAMILY CKN CURRY PASTE 200G</t>
  </si>
  <si>
    <t>Noodles</t>
  </si>
  <si>
    <t>051000043764/ 0051000043764</t>
  </si>
  <si>
    <t>CAMPBELL'S CREAM OF MUSHROOM 290G</t>
  </si>
  <si>
    <t>H/FAMILY BROWN SUGAR 1KG</t>
  </si>
  <si>
    <t>H/FAMILY CHILLI TUNA 170G</t>
  </si>
  <si>
    <t>8888626168791</t>
  </si>
  <si>
    <t>H/FAMILY FRIED DACE(XO SPICY)184G</t>
  </si>
  <si>
    <t>8888626150383</t>
  </si>
  <si>
    <t>HERITAGE FARM MACADAMIA AND CASHEW NUTS 150G</t>
  </si>
  <si>
    <t>8888626150376</t>
  </si>
  <si>
    <t>HERITAGE FARM WALNUTS AND CASHEW NUTS 150G</t>
  </si>
  <si>
    <t>Nuts</t>
  </si>
  <si>
    <t>POWERPLUS AB B/WASH-LAVENDER EUPHORIA 1L</t>
  </si>
  <si>
    <t>POWERPLUS AB HANDWASH APPLE FRESH 250ML</t>
  </si>
  <si>
    <t>HERITAGE FARM UHT FULL CREAM MILK 1L</t>
  </si>
  <si>
    <t>H/FAMILY VEG INSTANT NOODLE 5X78G(N)</t>
  </si>
  <si>
    <t>HERITAGE FARM GRAPESEED OIL 500ML</t>
  </si>
  <si>
    <t>8888626118932</t>
  </si>
  <si>
    <t>HERITAGE FARM EXTRA LIGHT OLIVE OIL 1L</t>
  </si>
  <si>
    <t>FRUIT KING PINEAPPLE SLICE IN SYRUP567G</t>
  </si>
  <si>
    <t xml:space="preserve">Chicken Curry </t>
  </si>
  <si>
    <t xml:space="preserve">H/FAMILY THIN SKINNED WALNUT(ORI)300G  </t>
  </si>
  <si>
    <t>Walnut</t>
  </si>
  <si>
    <t xml:space="preserve">T/BITES GARLIC BREAD(ORIGINAL)250G  </t>
  </si>
  <si>
    <r>
      <t>T/BITES JAPANESE STYLE PRAWN GYOZA 200G</t>
    </r>
    <r>
      <rPr>
        <sz val="12"/>
        <color indexed="10"/>
        <rFont val="Calibri"/>
        <family val="2"/>
      </rPr>
      <t xml:space="preserve"> </t>
    </r>
  </si>
  <si>
    <t>HERITAGE FARM UHT LOW FAT MILK 1L</t>
  </si>
  <si>
    <t>H/FAMILY CHICKEN CURRY W/POTATOES 300G</t>
  </si>
  <si>
    <t>HERITAGE FARM TRAD.P/SAUCE 350G</t>
  </si>
  <si>
    <t>SOFTESS 100% PURE WATER BABYWIPES 3X80S</t>
  </si>
  <si>
    <t>HOMENIKS JUMBO L/CAP 46S(B'FLY-BLOS)</t>
  </si>
  <si>
    <t>H/FAMILY CKN NUGGET(ORIGINAL)800G</t>
  </si>
  <si>
    <t>Wet Wipes</t>
  </si>
  <si>
    <t>HAPPY FAMILY CKN RICE CHILLI SAUCE 230G</t>
  </si>
  <si>
    <t>NANG RUM THAI (VAC)5KG</t>
  </si>
  <si>
    <r>
      <t>T/BITES TEMPURA FISH NUGGET 400G</t>
    </r>
    <r>
      <rPr>
        <sz val="12"/>
        <color indexed="10"/>
        <rFont val="Calibri"/>
        <family val="2"/>
      </rPr>
      <t xml:space="preserve"> </t>
    </r>
  </si>
  <si>
    <t xml:space="preserve">T/BITES B/TARTAR FISH NUGGET 400G </t>
  </si>
  <si>
    <t xml:space="preserve">T/BITES ROASTED CHICKEN THIGH 450G  </t>
  </si>
  <si>
    <t>T/BITES B/SALT&amp;B'PER F/FILLET(2S)350G</t>
  </si>
  <si>
    <t>TASTY BITES CHICKEN KARAAGE 450G</t>
  </si>
  <si>
    <t xml:space="preserve">H/FARM PLUM&amp;PASSION FRUIT 480ML </t>
  </si>
  <si>
    <t>BAKE FOR YOU PEANUT BUTTER CREAMY 510G</t>
  </si>
  <si>
    <t>ROYAL G/GRAIN FRAGRANT RICE 5KG NC</t>
  </si>
  <si>
    <t>H/FAMILY GLUTINOUS RICE 1KG</t>
  </si>
  <si>
    <t>HERITAGE FARM DRIED PRUNES 300G</t>
  </si>
  <si>
    <t>Dried Fruit</t>
  </si>
  <si>
    <t>POWERPLUS AB HANDWASH COOL MINT 3X250ML</t>
  </si>
  <si>
    <r>
      <t>HOMENIKS PREMIUM LIQ DETERG(P.WASH)3KG</t>
    </r>
    <r>
      <rPr>
        <sz val="12"/>
        <color indexed="10"/>
        <rFont val="Calibri"/>
        <family val="2"/>
      </rPr>
      <t xml:space="preserve"> </t>
    </r>
  </si>
  <si>
    <r>
      <t>HOMENIKS PREMIUM LIQ DETERG(P.W)REF1.6KG</t>
    </r>
    <r>
      <rPr>
        <sz val="12"/>
        <color indexed="10"/>
        <rFont val="Calibri"/>
        <family val="2"/>
      </rPr>
      <t xml:space="preserve"> </t>
    </r>
  </si>
  <si>
    <t>Insect Spray</t>
  </si>
  <si>
    <t xml:space="preserve">HOMENIKS PREMIUM LIQ DETERG(U.CLN)3KG   </t>
  </si>
  <si>
    <t>HOMENIKS PREMIUM LIQ DET(S.COL)REF 1.6KG</t>
  </si>
  <si>
    <t>HERITAGE FARM ALMOND&amp;CASHEW NUT 150G</t>
  </si>
  <si>
    <t>HERITAGE FARM PREMIUM MIXED NUTS 150G</t>
  </si>
  <si>
    <t>T/BITES FRIED CHICKEN STEAK 800G</t>
  </si>
  <si>
    <t>T/BITES TEMPURA FISH FILLET 500G</t>
  </si>
  <si>
    <t xml:space="preserve">T/BITES FRIED CKN MID WINGS 380G </t>
  </si>
  <si>
    <t>H/FAMILY FLOUR VERMICELLI 250G</t>
  </si>
  <si>
    <t>8888626101927</t>
  </si>
  <si>
    <t>ROYAL G/GRAIN MIXED RED C/RICE 2.5KG</t>
  </si>
  <si>
    <t>H/FAMILY CANOLA OIL 3L</t>
  </si>
  <si>
    <t>SOFTESS FACIAL PUFFS 200S(SIDE SEALED)</t>
  </si>
  <si>
    <t>SOFTESS 3IN1 COTTON BUDS 240SPAPERSTICK</t>
  </si>
  <si>
    <t>Handsoap</t>
  </si>
  <si>
    <t>Mask</t>
  </si>
  <si>
    <t>Tissue</t>
  </si>
  <si>
    <t>8888626149950</t>
  </si>
  <si>
    <t>HOMENIKS DISHWASHING LIQ(CITRUS) 1.1L+RF</t>
  </si>
  <si>
    <t>8888626150284</t>
  </si>
  <si>
    <t>HOMENIKS MT I/KILLER SPRAY-F/ACT 2X625ML</t>
  </si>
  <si>
    <t>8888626143897</t>
  </si>
  <si>
    <t>HOMENIKS ANTISEPTIC GERMICIDE 750ML</t>
  </si>
  <si>
    <t>8888626149806</t>
  </si>
  <si>
    <t>HOMENIKS DEHUMIDIFIER (LAV) 8X720ML</t>
  </si>
  <si>
    <t>8888626160245</t>
  </si>
  <si>
    <t>HOMENIKS CLING WRAP 200SQ(61MX30CM)</t>
  </si>
  <si>
    <t>Battery</t>
  </si>
  <si>
    <t>SOFTESS P/P K/TOWEL 8X60S(SFR)</t>
  </si>
  <si>
    <t>AVIVAR CKN MIDJOINT WING 2KG</t>
  </si>
  <si>
    <t>SEARA FRZ CKN WINGS 2KG</t>
  </si>
  <si>
    <t>H/FAMILY POPCORN CHICKEN 450G</t>
  </si>
  <si>
    <t xml:space="preserve">TASTY BITES FRIED BEAN CURD SHEET 150G  </t>
  </si>
  <si>
    <t>8888626029528/ 8888626608778</t>
  </si>
  <si>
    <t>8888626029535/ 8888626608761</t>
  </si>
  <si>
    <t xml:space="preserve">T/BITES SMOKED DUCK BREAST 500G </t>
  </si>
  <si>
    <t>Prata</t>
  </si>
  <si>
    <t>SEARA CKN BONELESS LEG 2KG</t>
  </si>
  <si>
    <t>7894904053940/
7894904042883/
7894904864041/
7894904240418</t>
  </si>
  <si>
    <r>
      <t xml:space="preserve">T/BITES CRINKLE CUT FRENCH FRIES 1KG </t>
    </r>
    <r>
      <rPr>
        <sz val="12"/>
        <color indexed="10"/>
        <rFont val="Calibri"/>
        <family val="2"/>
      </rPr>
      <t>(NEW ARRIVAL)</t>
    </r>
  </si>
  <si>
    <r>
      <t xml:space="preserve">T/BITES SHOESTRING FRENCH FRIES 1KG  </t>
    </r>
    <r>
      <rPr>
        <sz val="12"/>
        <color indexed="10"/>
        <rFont val="Calibri"/>
        <family val="2"/>
      </rPr>
      <t>(NEW ARRIVAL)</t>
    </r>
  </si>
  <si>
    <r>
      <t>T/BITES CKN BREAST(SWEET&amp;SPICY)5S 325G</t>
    </r>
    <r>
      <rPr>
        <sz val="12"/>
        <color indexed="10"/>
        <rFont val="Calibri"/>
        <family val="2"/>
      </rPr>
      <t xml:space="preserve"> (NEW ARRIVAL)</t>
    </r>
  </si>
  <si>
    <r>
      <t xml:space="preserve">T/BITES R/HONEY CKN MID WINGS 380G </t>
    </r>
    <r>
      <rPr>
        <sz val="12"/>
        <color indexed="10"/>
        <rFont val="Calibri"/>
        <family val="2"/>
      </rPr>
      <t>(NEW ARRIVAL)</t>
    </r>
  </si>
  <si>
    <t>Beverage -Elderly</t>
  </si>
  <si>
    <r>
      <t xml:space="preserve">HAPPY FAMILY SOY MILK DRINK OAT 300ML </t>
    </r>
    <r>
      <rPr>
        <sz val="12"/>
        <color indexed="10"/>
        <rFont val="Calibri"/>
        <family val="2"/>
      </rPr>
      <t xml:space="preserve"> </t>
    </r>
  </si>
  <si>
    <t xml:space="preserve">HAPPY FAMILY SOY MILK DRINK 300ML  </t>
  </si>
  <si>
    <t xml:space="preserve">H/FARM STARFRUIT JUICE 480ML </t>
  </si>
  <si>
    <t xml:space="preserve">H/FARM RED S'CANE&amp;W'CHESTNUT 480ML </t>
  </si>
  <si>
    <t xml:space="preserve">H/FARM GOLDEN PEAR&amp;ALOE VERA 480ML </t>
  </si>
  <si>
    <t xml:space="preserve">HERITAGE FARM QUICK OAT 1KG </t>
  </si>
  <si>
    <t>H/FAMILY SWEETENED CREAMER 1KG</t>
  </si>
  <si>
    <t>8888626103341</t>
  </si>
  <si>
    <t>BAKE FOR YOU ENRICHED W/M W/BREAD 400G</t>
  </si>
  <si>
    <t xml:space="preserve">BAKE FOR YOU XO KAYA(LESS SUGAR)410G </t>
  </si>
  <si>
    <t xml:space="preserve">HERITAGE FARM THAI VERMICELLI 500G </t>
  </si>
  <si>
    <t>ROYAL G/GRAIN MIXED JASMINE RICE 2.5KG</t>
  </si>
  <si>
    <t>HERITAGE FARM SUNFLOWER&amp;OLIVE OIL 2L</t>
  </si>
  <si>
    <t>H/FAMILY MACKEREL IN TOMATO SAUCE 425G</t>
  </si>
  <si>
    <t>H/FAMILY PRE LSL SOY SAUCE 500ML</t>
  </si>
  <si>
    <t xml:space="preserve">H/FAMILY PRE DARK SOY SAUCE 500ML </t>
  </si>
  <si>
    <t xml:space="preserve">H/FAMILY PRE OYSTER SAUCE 550G </t>
  </si>
  <si>
    <t>Mackerel</t>
  </si>
  <si>
    <r>
      <t xml:space="preserve">H/FAMILY MUSH.VEG OYSTER SAUCE 600G  </t>
    </r>
    <r>
      <rPr>
        <sz val="12"/>
        <color indexed="10"/>
        <rFont val="Calibri"/>
        <family val="2"/>
      </rPr>
      <t xml:space="preserve">(NEW ARRIVAL) </t>
    </r>
  </si>
  <si>
    <t>HERITAGE FARM DELIGHT MIX 100G</t>
  </si>
  <si>
    <t>HERITAGE FARM PEANUT CRACKERS 100G</t>
  </si>
  <si>
    <t>HERITAGE FARM M/NUT(CBERRY&amp;RAIS)150G</t>
  </si>
  <si>
    <t>H/FAMILY LEMON DELITE BISCUITS 125G</t>
  </si>
  <si>
    <t>HERITAGE FARM ORG POPCORN 180G(N) (NEW ARRIVAL)</t>
  </si>
  <si>
    <t>HERITAGE FARM CHEESE POPCORN 180G(N)  (NEW ARRIVAL)</t>
  </si>
  <si>
    <t>HERITAGE FARM CARAMEL POPCORN 180G(N)  (NEW ARRIVAL)</t>
  </si>
  <si>
    <r>
      <t xml:space="preserve">H/FAMILY PEANUT BUTTER SANDWICH 290G </t>
    </r>
    <r>
      <rPr>
        <sz val="12"/>
        <color indexed="10"/>
        <rFont val="Calibri"/>
        <family val="2"/>
      </rPr>
      <t xml:space="preserve"> (NEW ARRIVAL)</t>
    </r>
  </si>
  <si>
    <t xml:space="preserve">POWERPLUS 3PLY MEDICAL MASK 50S-WHT </t>
  </si>
  <si>
    <r>
      <t>POWERPLUS 3PLY MEDICAL MASK 50S-BLUE</t>
    </r>
    <r>
      <rPr>
        <sz val="12"/>
        <color indexed="10"/>
        <rFont val="Calibri"/>
        <family val="2"/>
      </rPr>
      <t xml:space="preserve"> </t>
    </r>
  </si>
  <si>
    <t>SOFTESS TAD HANGING K/TOWEL 2PLY 180S</t>
  </si>
  <si>
    <t>SOFTESS SOFTPACK TISS 3PLY 10X140S(SFR)</t>
  </si>
  <si>
    <t>SOFTESS P/P BOX TISSUE 4PLY 5X100S</t>
  </si>
  <si>
    <t>SOFTESS P/P HANGING F/TISSUES 4PLY 320S</t>
  </si>
  <si>
    <t>SOFTESS CLASSIC ADULT PANTS M 18S</t>
  </si>
  <si>
    <t>SOFTESS CLASSIC ADULT PANTS L 16S</t>
  </si>
  <si>
    <t>SOFTESS CLASSIC ADULT PANTS XL 15S</t>
  </si>
  <si>
    <r>
      <t>SOFTESS BAMBOO BR TIS 3PLY 10X220S</t>
    </r>
    <r>
      <rPr>
        <sz val="12"/>
        <color indexed="10"/>
        <rFont val="Calibri"/>
        <family val="2"/>
      </rPr>
      <t xml:space="preserve"> (NEW ARRIVAL)</t>
    </r>
  </si>
  <si>
    <r>
      <t xml:space="preserve">SOFTESS P/P BR TIS 3PLY 3X1.8KG(GT) </t>
    </r>
    <r>
      <rPr>
        <sz val="12"/>
        <color indexed="10"/>
        <rFont val="Calibri"/>
        <family val="2"/>
      </rPr>
      <t>(NEW ARRIVAL)</t>
    </r>
  </si>
  <si>
    <r>
      <t>SOFTESS BAMBOO SOFTPACK 4PLY 4X130S</t>
    </r>
    <r>
      <rPr>
        <sz val="12"/>
        <color indexed="10"/>
        <rFont val="Calibri"/>
        <family val="2"/>
      </rPr>
      <t xml:space="preserve">  (NEW ARRIVAL)</t>
    </r>
  </si>
  <si>
    <r>
      <t xml:space="preserve">SOFTESS PREMIUM BABY SLIM PANTS L 46S </t>
    </r>
    <r>
      <rPr>
        <sz val="12"/>
        <color indexed="10"/>
        <rFont val="Calibri"/>
        <family val="2"/>
      </rPr>
      <t>(NEW ARRIVAL)</t>
    </r>
  </si>
  <si>
    <r>
      <t xml:space="preserve">SOFTESS PREMIUM BABY SLIM PANTS XL 42S </t>
    </r>
    <r>
      <rPr>
        <sz val="12"/>
        <color indexed="10"/>
        <rFont val="Calibri"/>
        <family val="2"/>
      </rPr>
      <t>(NEW ARRIVAL)</t>
    </r>
  </si>
  <si>
    <r>
      <t xml:space="preserve">SOFTESS PREMIUM BABY SLIM PANTS XXL 40S </t>
    </r>
    <r>
      <rPr>
        <sz val="12"/>
        <color indexed="10"/>
        <rFont val="Calibri"/>
        <family val="2"/>
      </rPr>
      <t>(NEW ARRIVAL)</t>
    </r>
  </si>
  <si>
    <t>HOMENIKS 6IN1 LAUNDRY CAPSULES(BLOOS)80S</t>
  </si>
  <si>
    <t>HOMENIKS 6IN1 LAUNDRY CAPSULES(LAV) 80S</t>
  </si>
  <si>
    <t>HOMENIKS DISHWASH LIQ REF(MIX) 4X600ML</t>
  </si>
  <si>
    <t xml:space="preserve">HOMENIKS M/PURPOSE CLEANER(APPLE) 2L </t>
  </si>
  <si>
    <t>8888626177496</t>
  </si>
  <si>
    <t xml:space="preserve">HOMENIKS ALKALINE BATTERY 1.5V AAA4 </t>
  </si>
  <si>
    <t>8888626149677</t>
  </si>
  <si>
    <t>HOMENIKS SCOURER PAD-5S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</si>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</sst>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;\-&quot;$&quot;#,##0.00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yyyy\-mm\-dd"/>
    <numFmt numFmtId="168" formatCode="#,##0_ ;[Red]\-#,##0\ "/>
    <numFmt numFmtId="169" formatCode="&quot;$&quot;#,##0.00"/>
    <numFmt numFmtId="170" formatCode="0.0"/>
  </numFmts>
  <fonts count="16" x14ac:knownFonts="1">
    <font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2"/>
      <color indexed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2">
    <xf numFmtId="0" fontId="0" fillId="0" borderId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1" fillId="0" borderId="0">
      <alignment vertical="center"/>
    </xf>
    <xf numFmtId="0" fontId="2" fillId="0" borderId="0">
      <protection locked="0"/>
    </xf>
  </cellStyleXfs>
  <cellXfs count="213"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168" fontId="11" fillId="0" borderId="13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9" fontId="13" fillId="0" borderId="0" xfId="0" applyNumberFormat="1" applyFont="1" applyAlignment="1">
      <alignment horizontal="center" vertical="center"/>
    </xf>
    <xf numFmtId="7" fontId="13" fillId="0" borderId="13" xfId="0" applyNumberFormat="1" applyFont="1" applyBorder="1" applyAlignment="1">
      <alignment horizontal="center" vertical="center"/>
    </xf>
    <xf numFmtId="7" fontId="12" fillId="0" borderId="1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1" fontId="10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67" fontId="13" fillId="0" borderId="1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3" fillId="0" borderId="1" xfId="10" applyFont="1" applyBorder="1">
      <alignment vertical="center"/>
    </xf>
    <xf numFmtId="0" fontId="12" fillId="2" borderId="13" xfId="0" quotePrefix="1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169" fontId="13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 wrapText="1"/>
    </xf>
    <xf numFmtId="2" fontId="13" fillId="0" borderId="1" xfId="11" applyNumberFormat="1" applyFont="1" applyBorder="1" applyAlignment="1" applyProtection="1">
      <alignment horizontal="justify" vertical="center"/>
    </xf>
    <xf numFmtId="0" fontId="13" fillId="0" borderId="1" xfId="0" applyFont="1" applyBorder="1" applyAlignment="1">
      <alignment vertical="center" wrapText="1"/>
    </xf>
    <xf numFmtId="169" fontId="13" fillId="0" borderId="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" fontId="13" fillId="0" borderId="1" xfId="11" applyNumberFormat="1" applyFont="1" applyBorder="1" applyAlignment="1" applyProtection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168" fontId="11" fillId="0" borderId="15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3" fillId="0" borderId="0" xfId="10" applyFont="1">
      <alignment vertical="center"/>
    </xf>
    <xf numFmtId="1" fontId="13" fillId="0" borderId="3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168" fontId="10" fillId="4" borderId="1" xfId="0" applyNumberFormat="1" applyFont="1" applyFill="1" applyBorder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 wrapText="1"/>
    </xf>
    <xf numFmtId="7" fontId="12" fillId="0" borderId="18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169" fontId="13" fillId="4" borderId="1" xfId="0" applyNumberFormat="1" applyFont="1" applyFill="1" applyBorder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0" fontId="10" fillId="0" borderId="1" xfId="0" applyFont="1" applyBorder="1" applyAlignment="1">
      <alignment vertical="center"/>
    </xf>
    <xf numFmtId="165" fontId="13" fillId="0" borderId="13" xfId="0" applyNumberFormat="1" applyFont="1" applyBorder="1" applyAlignment="1">
      <alignment horizontal="center" vertical="center"/>
    </xf>
    <xf numFmtId="166" fontId="10" fillId="0" borderId="0" xfId="1" applyFont="1" applyAlignment="1">
      <alignment vertical="center"/>
    </xf>
    <xf numFmtId="7" fontId="13" fillId="4" borderId="13" xfId="0" applyNumberFormat="1" applyFont="1" applyFill="1" applyBorder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1" fontId="13" fillId="0" borderId="6" xfId="0" applyNumberFormat="1" applyFont="1" applyBorder="1" applyAlignment="1">
      <alignment horizontal="center" vertical="center" wrapText="1"/>
    </xf>
    <xf numFmtId="168" fontId="13" fillId="0" borderId="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center" vertical="center" wrapText="1"/>
    </xf>
    <xf numFmtId="7" fontId="12" fillId="0" borderId="21" xfId="0" applyNumberFormat="1" applyFont="1" applyBorder="1" applyAlignment="1">
      <alignment horizontal="center" vertical="center"/>
    </xf>
    <xf numFmtId="169" fontId="13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7" fontId="12" fillId="0" borderId="22" xfId="0" applyNumberFormat="1" applyFont="1" applyBorder="1" applyAlignment="1">
      <alignment horizontal="center" vertical="center"/>
    </xf>
    <xf numFmtId="169" fontId="13" fillId="0" borderId="7" xfId="0" applyNumberFormat="1" applyFont="1" applyBorder="1" applyAlignment="1">
      <alignment horizontal="center" vertical="center"/>
    </xf>
    <xf numFmtId="168" fontId="10" fillId="0" borderId="7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7" fontId="13" fillId="0" borderId="21" xfId="0" applyNumberFormat="1" applyFont="1" applyBorder="1" applyAlignment="1">
      <alignment horizontal="center" vertical="center"/>
    </xf>
    <xf numFmtId="0" fontId="13" fillId="0" borderId="1" xfId="10" applyFont="1" applyBorder="1" applyAlignment="1">
      <alignment horizontal="center" vertical="center"/>
    </xf>
    <xf numFmtId="165" fontId="10" fillId="0" borderId="0" xfId="2" applyFont="1" applyFill="1" applyAlignment="1">
      <alignment vertical="center"/>
    </xf>
    <xf numFmtId="0" fontId="13" fillId="0" borderId="8" xfId="0" quotePrefix="1" applyFont="1" applyBorder="1" applyAlignment="1">
      <alignment horizontal="center" vertical="center" wrapText="1"/>
    </xf>
    <xf numFmtId="2" fontId="13" fillId="0" borderId="3" xfId="11" applyNumberFormat="1" applyFont="1" applyBorder="1" applyAlignment="1" applyProtection="1">
      <alignment horizontal="justify" vertical="center"/>
    </xf>
    <xf numFmtId="1" fontId="13" fillId="0" borderId="3" xfId="11" applyNumberFormat="1" applyFont="1" applyBorder="1" applyAlignment="1" applyProtection="1">
      <alignment horizontal="center" vertical="center"/>
    </xf>
    <xf numFmtId="168" fontId="11" fillId="0" borderId="17" xfId="0" applyNumberFormat="1" applyFont="1" applyBorder="1" applyAlignment="1">
      <alignment horizontal="center" vertical="center" wrapText="1"/>
    </xf>
    <xf numFmtId="168" fontId="10" fillId="0" borderId="2" xfId="0" applyNumberFormat="1" applyFont="1" applyBorder="1" applyAlignment="1">
      <alignment horizontal="center" vertical="center"/>
    </xf>
    <xf numFmtId="168" fontId="13" fillId="0" borderId="2" xfId="0" applyNumberFormat="1" applyFont="1" applyBorder="1" applyAlignment="1">
      <alignment horizontal="center" vertical="center"/>
    </xf>
    <xf numFmtId="7" fontId="13" fillId="0" borderId="1" xfId="0" applyNumberFormat="1" applyFont="1" applyBorder="1" applyAlignment="1">
      <alignment horizontal="center" vertical="center"/>
    </xf>
    <xf numFmtId="165" fontId="13" fillId="0" borderId="0" xfId="10" applyNumberFormat="1" applyFont="1">
      <alignment vertical="center"/>
    </xf>
    <xf numFmtId="168" fontId="10" fillId="0" borderId="9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 wrapText="1"/>
    </xf>
    <xf numFmtId="7" fontId="13" fillId="0" borderId="22" xfId="0" applyNumberFormat="1" applyFont="1" applyBorder="1" applyAlignment="1">
      <alignment horizontal="center" vertical="center"/>
    </xf>
    <xf numFmtId="168" fontId="10" fillId="0" borderId="5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vertical="center"/>
    </xf>
    <xf numFmtId="0" fontId="13" fillId="0" borderId="2" xfId="0" quotePrefix="1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/>
    </xf>
    <xf numFmtId="166" fontId="10" fillId="0" borderId="0" xfId="1" applyFont="1" applyFill="1" applyAlignment="1">
      <alignment vertical="center"/>
    </xf>
    <xf numFmtId="165" fontId="10" fillId="0" borderId="0" xfId="2" applyFont="1" applyAlignment="1">
      <alignment vertical="center"/>
    </xf>
    <xf numFmtId="170" fontId="10" fillId="0" borderId="1" xfId="0" applyNumberFormat="1" applyFont="1" applyBorder="1" applyAlignment="1">
      <alignment vertical="center"/>
    </xf>
    <xf numFmtId="1" fontId="13" fillId="0" borderId="8" xfId="0" applyNumberFormat="1" applyFont="1" applyBorder="1" applyAlignment="1">
      <alignment horizontal="center" vertical="center" wrapText="1"/>
    </xf>
    <xf numFmtId="0" fontId="3" fillId="0" borderId="3" xfId="6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65" fontId="13" fillId="0" borderId="1" xfId="2" applyFont="1" applyFill="1" applyBorder="1" applyAlignment="1">
      <alignment horizontal="center" vertical="center"/>
    </xf>
    <xf numFmtId="165" fontId="13" fillId="0" borderId="3" xfId="2" applyFont="1" applyFill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/>
    </xf>
    <xf numFmtId="0" fontId="12" fillId="0" borderId="16" xfId="0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vertical="center"/>
    </xf>
    <xf numFmtId="1" fontId="13" fillId="0" borderId="18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8" xfId="0" applyFont="1" applyBorder="1" applyAlignment="1">
      <alignment vertical="center"/>
    </xf>
    <xf numFmtId="0" fontId="13" fillId="0" borderId="1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165" fontId="11" fillId="0" borderId="0" xfId="2" applyFont="1" applyAlignment="1">
      <alignment vertical="center"/>
    </xf>
    <xf numFmtId="165" fontId="12" fillId="0" borderId="13" xfId="2" applyFont="1" applyBorder="1" applyAlignment="1">
      <alignment horizontal="center" vertical="center"/>
    </xf>
    <xf numFmtId="165" fontId="13" fillId="0" borderId="0" xfId="2" applyFont="1" applyFill="1" applyAlignment="1">
      <alignment vertical="center"/>
    </xf>
    <xf numFmtId="165" fontId="13" fillId="0" borderId="0" xfId="2" applyFont="1" applyAlignment="1">
      <alignment vertical="center"/>
    </xf>
    <xf numFmtId="165" fontId="13" fillId="0" borderId="16" xfId="0" applyNumberFormat="1" applyFont="1" applyBorder="1" applyAlignment="1">
      <alignment horizontal="center" vertical="center"/>
    </xf>
    <xf numFmtId="165" fontId="12" fillId="0" borderId="2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8" fontId="11" fillId="0" borderId="16" xfId="0" applyNumberFormat="1" applyFont="1" applyBorder="1" applyAlignment="1">
      <alignment horizontal="center" vertical="center" wrapText="1"/>
    </xf>
    <xf numFmtId="166" fontId="10" fillId="0" borderId="0" xfId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9" fontId="13" fillId="5" borderId="1" xfId="0" applyNumberFormat="1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 wrapText="1"/>
    </xf>
    <xf numFmtId="168" fontId="10" fillId="6" borderId="1" xfId="0" applyNumberFormat="1" applyFont="1" applyFill="1" applyBorder="1" applyAlignment="1">
      <alignment horizontal="center" vertical="center"/>
    </xf>
    <xf numFmtId="168" fontId="13" fillId="6" borderId="1" xfId="0" applyNumberFormat="1" applyFont="1" applyFill="1" applyBorder="1" applyAlignment="1">
      <alignment horizontal="center" vertical="center"/>
    </xf>
    <xf numFmtId="168" fontId="10" fillId="6" borderId="5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168" fontId="10" fillId="6" borderId="3" xfId="0" applyNumberFormat="1" applyFont="1" applyFill="1" applyBorder="1" applyAlignment="1">
      <alignment horizontal="center" vertical="center"/>
    </xf>
    <xf numFmtId="165" fontId="13" fillId="5" borderId="1" xfId="2" applyFont="1" applyFill="1" applyBorder="1" applyAlignment="1">
      <alignment horizontal="center" vertical="center"/>
    </xf>
    <xf numFmtId="169" fontId="10" fillId="0" borderId="0" xfId="1" applyNumberFormat="1" applyFont="1" applyAlignment="1">
      <alignment vertical="center"/>
    </xf>
    <xf numFmtId="0" fontId="13" fillId="4" borderId="3" xfId="0" applyFont="1" applyFill="1" applyBorder="1" applyAlignment="1">
      <alignment horizontal="center" vertical="center" wrapText="1"/>
    </xf>
    <xf numFmtId="168" fontId="13" fillId="0" borderId="9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5" fontId="10" fillId="0" borderId="1" xfId="2" applyFont="1" applyBorder="1" applyAlignment="1">
      <alignment vertical="center"/>
    </xf>
    <xf numFmtId="166" fontId="10" fillId="0" borderId="1" xfId="1" applyFont="1" applyBorder="1" applyAlignment="1">
      <alignment vertical="center"/>
    </xf>
    <xf numFmtId="0" fontId="13" fillId="0" borderId="3" xfId="0" applyFont="1" applyBorder="1" applyAlignment="1">
      <alignment horizontal="left" vertical="center"/>
    </xf>
    <xf numFmtId="165" fontId="10" fillId="0" borderId="0" xfId="2" applyFont="1" applyAlignment="1">
      <alignment horizontal="center" vertical="center"/>
    </xf>
    <xf numFmtId="1" fontId="13" fillId="4" borderId="3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vertical="center"/>
    </xf>
    <xf numFmtId="0" fontId="13" fillId="4" borderId="4" xfId="0" applyFont="1" applyFill="1" applyBorder="1" applyAlignment="1">
      <alignment horizontal="center" vertical="center"/>
    </xf>
    <xf numFmtId="169" fontId="13" fillId="4" borderId="3" xfId="0" applyNumberFormat="1" applyFont="1" applyFill="1" applyBorder="1" applyAlignment="1">
      <alignment horizontal="center" vertical="center"/>
    </xf>
    <xf numFmtId="7" fontId="13" fillId="4" borderId="21" xfId="0" applyNumberFormat="1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2" xfId="0" applyFont="1" applyBorder="1" applyAlignment="1">
      <alignment vertical="center"/>
    </xf>
    <xf numFmtId="0" fontId="12" fillId="0" borderId="2" xfId="10" applyFont="1" applyBorder="1" applyAlignment="1">
      <alignment horizontal="center" vertical="center"/>
    </xf>
    <xf numFmtId="0" fontId="12" fillId="0" borderId="5" xfId="1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vertical="center"/>
    </xf>
    <xf numFmtId="0" fontId="13" fillId="0" borderId="3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3" fillId="0" borderId="33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6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</cellXfs>
  <cellStyles count="12">
    <cellStyle name="Comma" xfId="1" builtinId="3"/>
    <cellStyle name="Currency" xfId="2" builtinId="4"/>
    <cellStyle name="Currency 10 10 2" xfId="3" xr:uid="{018D5973-4249-4524-8C81-B4CDE0E10405}"/>
    <cellStyle name="Currency 10 3 2 2" xfId="4" xr:uid="{0D97BA42-AF69-4ACB-8A0B-87A75EDCF689}"/>
    <cellStyle name="Normal" xfId="0" builtinId="0"/>
    <cellStyle name="Normal 2" xfId="5" xr:uid="{B07707B3-2C81-4EC7-9311-2B3D92DBC82B}"/>
    <cellStyle name="Normal 3" xfId="6" xr:uid="{D90785B9-5567-4943-B03C-76E6700D6155}"/>
    <cellStyle name="Normal 3 33 2 2" xfId="7" xr:uid="{6DF35435-671F-4F7C-A60D-ACADEAF1EABB}"/>
    <cellStyle name="Normal 3 35" xfId="8" xr:uid="{1DC93BE9-3297-4217-9953-FE2C2885D788}"/>
    <cellStyle name="Normal 4" xfId="9" xr:uid="{9236B205-141B-4E1A-A03D-86B8AC0B8574}"/>
    <cellStyle name="Normal 5" xfId="10" xr:uid="{E93135BA-E53E-4B24-8103-E9AB39CB1C5C}"/>
    <cellStyle name="Normal_CNY_ Cookies" xfId="11" xr:uid="{F8B1EBB3-1C2D-4D84-9CE3-13F977886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14E1-4C74-4EFA-8204-53A33352A49C}">
  <dimension ref="A1:G101"/>
  <sheetViews>
    <sheetView zoomScale="145" zoomScaleNormal="145" workbookViewId="0">
      <selection activeCell="F12" sqref="F12"/>
    </sheetView>
  </sheetViews>
  <sheetFormatPr defaultColWidth="14.42578125" defaultRowHeight="15" customHeight="1" x14ac:dyDescent="0.25"/>
  <cols>
    <col min="1" max="1" width="6" style="1" customWidth="1"/>
    <col min="2" max="2" width="27" style="1" customWidth="1"/>
    <col min="3" max="3" width="29.85546875" style="1" customWidth="1"/>
    <col min="4" max="4" width="13.7109375" style="1" customWidth="1"/>
    <col min="5" max="5" width="11.85546875" style="1" customWidth="1"/>
    <col min="6" max="6" width="7.7109375" style="1" customWidth="1"/>
    <col min="7" max="7" width="30.5703125" style="1" customWidth="1"/>
    <col min="8" max="9" width="9.140625" style="1" customWidth="1"/>
    <col min="10" max="16384" width="14.42578125" style="1"/>
  </cols>
  <sheetData>
    <row r="1" spans="1:7" ht="15.75" x14ac:dyDescent="0.25">
      <c r="A1" s="167" t="s">
        <v>0</v>
      </c>
      <c r="B1" s="168"/>
      <c r="C1" s="8" t="s">
        <v>1</v>
      </c>
      <c r="D1" s="8" t="s">
        <v>2</v>
      </c>
    </row>
    <row r="2" spans="1:7" ht="15.6" customHeight="1" x14ac:dyDescent="0.25">
      <c r="A2" s="173" t="s">
        <v>3</v>
      </c>
      <c r="B2" s="168"/>
      <c r="C2" s="85" t="s">
        <v>31</v>
      </c>
      <c r="D2" s="21">
        <v>46130</v>
      </c>
      <c r="F2" s="169" t="s">
        <v>1</v>
      </c>
      <c r="G2" s="170"/>
    </row>
    <row r="3" spans="1:7" ht="15.75" x14ac:dyDescent="0.25">
      <c r="A3" s="173" t="s">
        <v>4</v>
      </c>
      <c r="B3" s="168"/>
      <c r="C3" s="24"/>
      <c r="D3" s="21">
        <v>46126</v>
      </c>
      <c r="F3" s="23" t="s">
        <v>130</v>
      </c>
      <c r="G3" s="23" t="s">
        <v>131</v>
      </c>
    </row>
    <row r="4" spans="1:7" ht="15" customHeight="1" x14ac:dyDescent="0.25">
      <c r="F4" s="67" t="s">
        <v>132</v>
      </c>
      <c r="G4" s="67" t="s">
        <v>133</v>
      </c>
    </row>
    <row r="5" spans="1:7" ht="15.75" x14ac:dyDescent="0.25">
      <c r="A5" s="8" t="s">
        <v>5</v>
      </c>
      <c r="B5" s="22" t="s">
        <v>6</v>
      </c>
      <c r="C5" s="8" t="s">
        <v>7</v>
      </c>
      <c r="F5" s="23" t="s">
        <v>134</v>
      </c>
      <c r="G5" s="23" t="s">
        <v>135</v>
      </c>
    </row>
    <row r="6" spans="1:7" ht="15.75" x14ac:dyDescent="0.25">
      <c r="A6" s="17">
        <v>1</v>
      </c>
      <c r="B6" s="18" t="s">
        <v>8</v>
      </c>
      <c r="C6" s="68">
        <f>'Frozen Food'!J45</f>
        <v>18582.819999999996</v>
      </c>
      <c r="D6" s="66"/>
      <c r="E6" s="71"/>
      <c r="F6" s="23" t="s">
        <v>31</v>
      </c>
      <c r="G6" s="23" t="s">
        <v>70</v>
      </c>
    </row>
    <row r="7" spans="1:7" ht="15.75" x14ac:dyDescent="0.25">
      <c r="A7" s="17">
        <v>2</v>
      </c>
      <c r="B7" s="18" t="s">
        <v>9</v>
      </c>
      <c r="C7" s="68">
        <f>Beverages!J27</f>
        <v>6666.2</v>
      </c>
      <c r="D7" s="66"/>
      <c r="E7" s="71"/>
      <c r="F7" s="23" t="s">
        <v>32</v>
      </c>
      <c r="G7" s="23" t="s">
        <v>33</v>
      </c>
    </row>
    <row r="8" spans="1:7" ht="15.75" x14ac:dyDescent="0.25">
      <c r="A8" s="17">
        <v>3</v>
      </c>
      <c r="B8" s="18" t="s">
        <v>10</v>
      </c>
      <c r="C8" s="68">
        <f>'Groceries &amp; Breakfast'!J30</f>
        <v>8599.34</v>
      </c>
      <c r="D8" s="66"/>
      <c r="E8" s="71"/>
      <c r="F8" s="48"/>
      <c r="G8" s="94"/>
    </row>
    <row r="9" spans="1:7" ht="15.75" x14ac:dyDescent="0.25">
      <c r="A9" s="17">
        <v>4</v>
      </c>
      <c r="B9" s="18" t="s">
        <v>13</v>
      </c>
      <c r="C9" s="68">
        <f>'Rice &amp; Oil'!J35</f>
        <v>22596.36</v>
      </c>
      <c r="D9" s="66"/>
      <c r="E9" s="71"/>
      <c r="F9" s="48"/>
      <c r="G9" s="94"/>
    </row>
    <row r="10" spans="1:7" ht="15.75" x14ac:dyDescent="0.25">
      <c r="A10" s="17">
        <v>5</v>
      </c>
      <c r="B10" s="18" t="s">
        <v>98</v>
      </c>
      <c r="C10" s="68">
        <f>'Canned Food &amp; Condiment'!J38</f>
        <v>6294.3</v>
      </c>
      <c r="D10" s="66"/>
      <c r="E10" s="71"/>
      <c r="F10" s="48"/>
      <c r="G10" s="94"/>
    </row>
    <row r="11" spans="1:7" ht="15.75" x14ac:dyDescent="0.25">
      <c r="A11" s="17">
        <v>6</v>
      </c>
      <c r="B11" s="18" t="s">
        <v>82</v>
      </c>
      <c r="C11" s="68">
        <f>'Snacks '!J30</f>
        <v>4782.5999999999995</v>
      </c>
      <c r="D11" s="66"/>
      <c r="E11" s="71"/>
      <c r="G11" s="94"/>
    </row>
    <row r="12" spans="1:7" ht="15.75" x14ac:dyDescent="0.25">
      <c r="A12" s="17">
        <v>7</v>
      </c>
      <c r="B12" s="118" t="s">
        <v>12</v>
      </c>
      <c r="C12" s="140">
        <f>'Tissue &amp; Others'!J40</f>
        <v>13882.5</v>
      </c>
      <c r="D12" s="66"/>
      <c r="E12" s="71"/>
      <c r="G12" s="94"/>
    </row>
    <row r="13" spans="1:7" ht="15.75" x14ac:dyDescent="0.25">
      <c r="A13" s="17">
        <v>8</v>
      </c>
      <c r="B13" s="62" t="s">
        <v>14</v>
      </c>
      <c r="C13" s="142">
        <f>'Cleaning Agent'!J41</f>
        <v>7109.6699999999992</v>
      </c>
      <c r="D13" s="66"/>
      <c r="E13" s="71"/>
      <c r="G13" s="94"/>
    </row>
    <row r="14" spans="1:7" ht="13.9" customHeight="1" x14ac:dyDescent="0.25">
      <c r="A14" s="171" t="s">
        <v>16</v>
      </c>
      <c r="B14" s="172"/>
      <c r="C14" s="141">
        <f>SUM(C6:C13)</f>
        <v>88513.790000000008</v>
      </c>
      <c r="D14" s="86"/>
      <c r="E14" s="66"/>
      <c r="G14" s="94"/>
    </row>
    <row r="15" spans="1:7" ht="15.75" x14ac:dyDescent="0.25">
      <c r="C15" s="104"/>
      <c r="D15" s="71"/>
      <c r="E15" s="66"/>
      <c r="G15" s="94"/>
    </row>
    <row r="16" spans="1:7" ht="15" customHeight="1" x14ac:dyDescent="0.25">
      <c r="C16" s="71"/>
      <c r="D16" s="86"/>
      <c r="E16" s="66"/>
      <c r="G16" s="94"/>
    </row>
    <row r="17" spans="3:7" ht="15" customHeight="1" x14ac:dyDescent="0.25">
      <c r="C17" s="71"/>
      <c r="E17" s="66"/>
      <c r="G17" s="94"/>
    </row>
    <row r="18" spans="3:7" ht="15" customHeight="1" x14ac:dyDescent="0.25">
      <c r="C18" s="71"/>
    </row>
    <row r="19" spans="3:7" ht="15" customHeight="1" x14ac:dyDescent="0.25">
      <c r="C19" s="71"/>
    </row>
    <row r="22" spans="3:7" ht="15.75" customHeight="1" x14ac:dyDescent="0.25"/>
    <row r="23" spans="3:7" ht="15.75" customHeight="1" x14ac:dyDescent="0.25"/>
    <row r="24" spans="3:7" ht="15.75" customHeight="1" x14ac:dyDescent="0.25"/>
    <row r="25" spans="3:7" ht="15.75" customHeight="1" x14ac:dyDescent="0.25"/>
    <row r="26" spans="3:7" ht="15.75" customHeight="1" x14ac:dyDescent="0.25"/>
    <row r="27" spans="3:7" ht="15.75" customHeight="1" x14ac:dyDescent="0.25"/>
    <row r="28" spans="3:7" ht="15.75" customHeight="1" x14ac:dyDescent="0.25"/>
    <row r="29" spans="3:7" ht="15.75" customHeight="1" x14ac:dyDescent="0.25"/>
    <row r="30" spans="3:7" ht="15.75" customHeight="1" x14ac:dyDescent="0.25"/>
    <row r="31" spans="3:7" ht="15.75" customHeight="1" x14ac:dyDescent="0.25"/>
    <row r="32" spans="3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</sheetData>
  <mergeCells count="5">
    <mergeCell ref="A1:B1"/>
    <mergeCell ref="F2:G2"/>
    <mergeCell ref="A14:B14"/>
    <mergeCell ref="A2:B2"/>
    <mergeCell ref="A3:B3"/>
  </mergeCells>
  <pageMargins left="0.75" right="0.75" top="1" bottom="1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5537-2692-4107-B8A6-AB46669259AF}">
  <sheetPr>
    <pageSetUpPr fitToPage="1"/>
  </sheetPr>
  <dimension ref="A1:Q118"/>
  <sheetViews>
    <sheetView zoomScale="85" zoomScaleNormal="85" workbookViewId="0">
      <selection activeCell="D11" sqref="D11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26.7109375" style="1" customWidth="1"/>
    <col min="4" max="4" width="13" style="1" customWidth="1"/>
    <col min="5" max="5" width="59.5703125" style="1" bestFit="1" customWidth="1"/>
    <col min="6" max="6" width="12.140625" style="4" customWidth="1"/>
    <col min="7" max="8" width="12.28515625" style="1" customWidth="1"/>
    <col min="9" max="9" width="12.7109375" style="1" customWidth="1"/>
    <col min="10" max="10" width="14.140625" style="1" customWidth="1"/>
    <col min="11" max="11" width="11.140625" style="69" customWidth="1"/>
    <col min="12" max="12" width="13.28515625" style="69" customWidth="1"/>
    <col min="13" max="13" width="14.85546875" style="69" customWidth="1"/>
    <col min="14" max="14" width="13.28515625" style="69" customWidth="1"/>
    <col min="15" max="16384" width="14.42578125" style="1"/>
  </cols>
  <sheetData>
    <row r="1" spans="1:17" ht="21" customHeight="1" x14ac:dyDescent="0.25">
      <c r="A1" s="1" t="s">
        <v>0</v>
      </c>
      <c r="B1" s="176" t="s">
        <v>8</v>
      </c>
      <c r="C1" s="175"/>
      <c r="D1" s="175"/>
      <c r="E1" s="175"/>
      <c r="F1" s="175"/>
      <c r="G1" s="175"/>
      <c r="H1" s="175"/>
      <c r="I1" s="174">
        <f>Summary!D2</f>
        <v>46130</v>
      </c>
      <c r="J1" s="175"/>
    </row>
    <row r="2" spans="1:17" ht="21" customHeight="1" x14ac:dyDescent="0.25">
      <c r="B2" s="2"/>
      <c r="C2" s="2"/>
      <c r="D2" s="2"/>
      <c r="E2" s="3"/>
      <c r="F2" s="16"/>
      <c r="G2" s="3"/>
      <c r="H2" s="4"/>
      <c r="I2" s="5"/>
      <c r="J2" s="4"/>
    </row>
    <row r="3" spans="1:17" ht="42" customHeight="1" x14ac:dyDescent="0.25">
      <c r="A3" s="47" t="s">
        <v>30</v>
      </c>
      <c r="B3" s="47" t="s">
        <v>17</v>
      </c>
      <c r="C3" s="6" t="s">
        <v>18</v>
      </c>
      <c r="D3" s="6" t="s">
        <v>19</v>
      </c>
      <c r="E3" s="7" t="s">
        <v>20</v>
      </c>
      <c r="F3" s="8" t="s">
        <v>55</v>
      </c>
      <c r="G3" s="116" t="s">
        <v>21</v>
      </c>
      <c r="H3" s="47" t="s">
        <v>22</v>
      </c>
      <c r="I3" s="143" t="s">
        <v>23</v>
      </c>
      <c r="J3" s="6" t="s">
        <v>24</v>
      </c>
      <c r="K3" s="144"/>
      <c r="L3" s="4"/>
      <c r="M3" s="161"/>
      <c r="N3" s="144"/>
    </row>
    <row r="4" spans="1:17" ht="30.6" customHeight="1" x14ac:dyDescent="0.25">
      <c r="A4" s="57">
        <v>1</v>
      </c>
      <c r="B4" s="180" t="s">
        <v>396</v>
      </c>
      <c r="C4" s="25">
        <v>7898312045351</v>
      </c>
      <c r="D4" s="35">
        <v>205457</v>
      </c>
      <c r="E4" s="26" t="s">
        <v>331</v>
      </c>
      <c r="F4" s="30">
        <v>6</v>
      </c>
      <c r="G4" s="27">
        <v>9.9499999999999993</v>
      </c>
      <c r="H4" s="27">
        <v>9.9499999999999993</v>
      </c>
      <c r="I4" s="29">
        <v>198</v>
      </c>
      <c r="J4" s="99">
        <f>I4*H4</f>
        <v>1970.1</v>
      </c>
      <c r="K4" s="1"/>
      <c r="L4" s="1"/>
      <c r="M4" s="1"/>
      <c r="N4" s="1"/>
      <c r="P4" s="78"/>
      <c r="Q4" s="78"/>
    </row>
    <row r="5" spans="1:17" ht="36" customHeight="1" x14ac:dyDescent="0.25">
      <c r="A5" s="57">
        <v>2</v>
      </c>
      <c r="B5" s="181"/>
      <c r="C5" s="25">
        <v>7894904055364</v>
      </c>
      <c r="D5" s="35">
        <v>200268</v>
      </c>
      <c r="E5" s="26" t="s">
        <v>332</v>
      </c>
      <c r="F5" s="30">
        <v>6</v>
      </c>
      <c r="G5" s="27">
        <v>7.95</v>
      </c>
      <c r="H5" s="27">
        <v>7.95</v>
      </c>
      <c r="I5" s="29">
        <v>150</v>
      </c>
      <c r="J5" s="99">
        <f t="shared" ref="J5:J44" si="0">I5*H5</f>
        <v>1192.5</v>
      </c>
      <c r="K5" s="1"/>
      <c r="L5" s="1"/>
      <c r="M5" s="1"/>
      <c r="N5" s="1"/>
      <c r="P5" s="78"/>
      <c r="Q5" s="78"/>
    </row>
    <row r="6" spans="1:17" ht="76.900000000000006" customHeight="1" x14ac:dyDescent="0.25">
      <c r="A6" s="57">
        <v>3</v>
      </c>
      <c r="B6" s="181"/>
      <c r="C6" s="25" t="s">
        <v>340</v>
      </c>
      <c r="D6" s="35">
        <v>200485</v>
      </c>
      <c r="E6" s="26" t="s">
        <v>339</v>
      </c>
      <c r="F6" s="30">
        <v>6</v>
      </c>
      <c r="G6" s="27">
        <v>9.4499999999999993</v>
      </c>
      <c r="H6" s="27">
        <v>9.4499999999999993</v>
      </c>
      <c r="I6" s="29">
        <v>108</v>
      </c>
      <c r="J6" s="99">
        <f t="shared" si="0"/>
        <v>1020.5999999999999</v>
      </c>
      <c r="K6" s="1"/>
      <c r="L6" s="1"/>
      <c r="M6" s="1"/>
      <c r="N6" s="1"/>
      <c r="P6" s="78"/>
      <c r="Q6" s="78"/>
    </row>
    <row r="7" spans="1:17" ht="25.15" customHeight="1" x14ac:dyDescent="0.25">
      <c r="A7" s="57">
        <v>4</v>
      </c>
      <c r="B7" s="181"/>
      <c r="C7" s="25">
        <v>8888626607429</v>
      </c>
      <c r="D7" s="35">
        <v>205542</v>
      </c>
      <c r="E7" s="26" t="s">
        <v>162</v>
      </c>
      <c r="F7" s="30">
        <v>10</v>
      </c>
      <c r="G7" s="27">
        <v>12.95</v>
      </c>
      <c r="H7" s="27">
        <v>12.95</v>
      </c>
      <c r="I7" s="29">
        <v>110</v>
      </c>
      <c r="J7" s="99">
        <f t="shared" si="0"/>
        <v>1424.5</v>
      </c>
      <c r="P7" s="78"/>
      <c r="Q7" s="78"/>
    </row>
    <row r="8" spans="1:17" ht="25.15" customHeight="1" x14ac:dyDescent="0.25">
      <c r="A8" s="57">
        <v>5</v>
      </c>
      <c r="B8" s="181"/>
      <c r="C8" s="25">
        <v>8888626607795</v>
      </c>
      <c r="D8" s="35">
        <v>206083</v>
      </c>
      <c r="E8" s="26" t="s">
        <v>191</v>
      </c>
      <c r="F8" s="30">
        <v>10</v>
      </c>
      <c r="G8" s="27">
        <v>12.45</v>
      </c>
      <c r="H8" s="27">
        <v>12.45</v>
      </c>
      <c r="I8" s="28">
        <v>80</v>
      </c>
      <c r="J8" s="99">
        <f t="shared" si="0"/>
        <v>996</v>
      </c>
      <c r="K8" s="1"/>
      <c r="L8" s="1"/>
      <c r="M8" s="1"/>
      <c r="N8" s="1"/>
      <c r="P8" s="78"/>
      <c r="Q8" s="78"/>
    </row>
    <row r="9" spans="1:17" ht="25.15" customHeight="1" x14ac:dyDescent="0.25">
      <c r="A9" s="57">
        <v>6</v>
      </c>
      <c r="B9" s="181"/>
      <c r="C9" s="25">
        <v>3280317770828</v>
      </c>
      <c r="D9" s="35">
        <v>201376</v>
      </c>
      <c r="E9" s="26" t="s">
        <v>96</v>
      </c>
      <c r="F9" s="30">
        <v>24</v>
      </c>
      <c r="G9" s="27">
        <v>2.87</v>
      </c>
      <c r="H9" s="27">
        <v>2.87</v>
      </c>
      <c r="I9" s="28">
        <v>96</v>
      </c>
      <c r="J9" s="99">
        <f t="shared" si="0"/>
        <v>275.52</v>
      </c>
      <c r="K9" s="1"/>
      <c r="L9" s="1"/>
      <c r="M9" s="1"/>
      <c r="N9" s="1"/>
      <c r="P9" s="78"/>
      <c r="Q9" s="78"/>
    </row>
    <row r="10" spans="1:17" ht="25.15" customHeight="1" x14ac:dyDescent="0.25">
      <c r="A10" s="57">
        <v>7</v>
      </c>
      <c r="B10" s="181"/>
      <c r="C10" s="25">
        <v>8888626605074</v>
      </c>
      <c r="D10" s="35">
        <v>204027</v>
      </c>
      <c r="E10" s="26" t="s">
        <v>307</v>
      </c>
      <c r="F10" s="30">
        <v>10</v>
      </c>
      <c r="G10" s="27">
        <v>9</v>
      </c>
      <c r="H10" s="27">
        <v>9</v>
      </c>
      <c r="I10" s="28">
        <v>40</v>
      </c>
      <c r="J10" s="99">
        <f t="shared" si="0"/>
        <v>360</v>
      </c>
      <c r="K10" s="1"/>
      <c r="L10" s="1"/>
      <c r="M10" s="1"/>
      <c r="N10" s="1"/>
      <c r="P10" s="78"/>
      <c r="Q10" s="78"/>
    </row>
    <row r="11" spans="1:17" ht="25.15" customHeight="1" x14ac:dyDescent="0.25">
      <c r="A11" s="57">
        <v>8</v>
      </c>
      <c r="B11" s="181"/>
      <c r="C11" s="25">
        <v>8888626002040</v>
      </c>
      <c r="D11" s="35">
        <v>202307</v>
      </c>
      <c r="E11" s="26" t="s">
        <v>101</v>
      </c>
      <c r="F11" s="30">
        <v>12</v>
      </c>
      <c r="G11" s="146">
        <v>6.95</v>
      </c>
      <c r="H11" s="146">
        <v>6.95</v>
      </c>
      <c r="I11" s="28">
        <v>48</v>
      </c>
      <c r="J11" s="99">
        <f t="shared" si="0"/>
        <v>333.6</v>
      </c>
      <c r="K11" s="1"/>
      <c r="L11" s="1"/>
      <c r="M11" s="1"/>
      <c r="N11" s="1"/>
      <c r="P11" s="78"/>
      <c r="Q11" s="78"/>
    </row>
    <row r="12" spans="1:17" ht="25.15" customHeight="1" x14ac:dyDescent="0.25">
      <c r="A12" s="57">
        <v>9</v>
      </c>
      <c r="B12" s="181"/>
      <c r="C12" s="25">
        <v>8888626608617</v>
      </c>
      <c r="D12" s="35">
        <v>206492</v>
      </c>
      <c r="E12" s="105" t="s">
        <v>290</v>
      </c>
      <c r="F12" s="30">
        <v>20</v>
      </c>
      <c r="G12" s="146">
        <v>4.95</v>
      </c>
      <c r="H12" s="146">
        <v>4.95</v>
      </c>
      <c r="I12" s="28">
        <v>80</v>
      </c>
      <c r="J12" s="99">
        <f t="shared" si="0"/>
        <v>396</v>
      </c>
      <c r="K12" s="1"/>
      <c r="L12" s="1"/>
      <c r="M12" s="1"/>
      <c r="N12" s="1"/>
      <c r="P12" s="78"/>
      <c r="Q12" s="78"/>
    </row>
    <row r="13" spans="1:17" ht="25.15" customHeight="1" x14ac:dyDescent="0.25">
      <c r="A13" s="57">
        <v>10</v>
      </c>
      <c r="B13" s="181"/>
      <c r="C13" s="25">
        <v>8888626001920</v>
      </c>
      <c r="D13" s="35">
        <v>202210</v>
      </c>
      <c r="E13" s="26" t="s">
        <v>225</v>
      </c>
      <c r="F13" s="30">
        <v>12</v>
      </c>
      <c r="G13" s="27">
        <v>12</v>
      </c>
      <c r="H13" s="27">
        <v>12</v>
      </c>
      <c r="I13" s="28">
        <v>84</v>
      </c>
      <c r="J13" s="99">
        <f t="shared" si="0"/>
        <v>1008</v>
      </c>
      <c r="P13" s="78"/>
      <c r="Q13" s="78"/>
    </row>
    <row r="14" spans="1:17" ht="25.15" customHeight="1" x14ac:dyDescent="0.25">
      <c r="A14" s="57">
        <v>11</v>
      </c>
      <c r="B14" s="181"/>
      <c r="C14" s="25">
        <v>8888626606859</v>
      </c>
      <c r="D14" s="35">
        <v>205115</v>
      </c>
      <c r="E14" s="26" t="s">
        <v>68</v>
      </c>
      <c r="F14" s="30">
        <v>20</v>
      </c>
      <c r="G14" s="27">
        <v>14.95</v>
      </c>
      <c r="H14" s="27">
        <v>14.95</v>
      </c>
      <c r="I14" s="35">
        <v>60</v>
      </c>
      <c r="J14" s="99">
        <f t="shared" si="0"/>
        <v>897</v>
      </c>
      <c r="K14" s="1"/>
      <c r="L14" s="1"/>
      <c r="M14" s="1"/>
      <c r="N14" s="1"/>
      <c r="P14" s="78"/>
      <c r="Q14" s="78"/>
    </row>
    <row r="15" spans="1:17" ht="25.15" customHeight="1" x14ac:dyDescent="0.25">
      <c r="A15" s="57">
        <v>12</v>
      </c>
      <c r="B15" s="181"/>
      <c r="C15" s="25">
        <v>8888626143347</v>
      </c>
      <c r="D15" s="35">
        <v>205362</v>
      </c>
      <c r="E15" s="26" t="s">
        <v>197</v>
      </c>
      <c r="F15" s="30">
        <v>20</v>
      </c>
      <c r="G15" s="27">
        <v>4.25</v>
      </c>
      <c r="H15" s="27">
        <v>4.25</v>
      </c>
      <c r="I15" s="35">
        <v>60</v>
      </c>
      <c r="J15" s="99">
        <f t="shared" si="0"/>
        <v>255</v>
      </c>
      <c r="K15" s="1"/>
      <c r="L15" s="1"/>
      <c r="M15" s="1"/>
      <c r="N15" s="1"/>
      <c r="P15" s="78"/>
      <c r="Q15" s="78"/>
    </row>
    <row r="16" spans="1:17" ht="25.15" customHeight="1" x14ac:dyDescent="0.25">
      <c r="A16" s="57">
        <v>13</v>
      </c>
      <c r="B16" s="181"/>
      <c r="C16" s="25">
        <v>8888626606613</v>
      </c>
      <c r="D16" s="35">
        <v>204784</v>
      </c>
      <c r="E16" s="26" t="s">
        <v>61</v>
      </c>
      <c r="F16" s="30">
        <v>20</v>
      </c>
      <c r="G16" s="27">
        <v>3.75</v>
      </c>
      <c r="H16" s="27">
        <v>3.75</v>
      </c>
      <c r="I16" s="28">
        <v>80</v>
      </c>
      <c r="J16" s="99">
        <f t="shared" si="0"/>
        <v>300</v>
      </c>
      <c r="K16" s="1"/>
      <c r="L16" s="1"/>
      <c r="M16" s="1"/>
      <c r="N16" s="1"/>
      <c r="P16" s="78"/>
      <c r="Q16" s="78"/>
    </row>
    <row r="17" spans="1:17" ht="25.15" customHeight="1" x14ac:dyDescent="0.25">
      <c r="A17" s="57">
        <v>14</v>
      </c>
      <c r="B17" s="181"/>
      <c r="C17" s="25">
        <v>8888626607559</v>
      </c>
      <c r="D17" s="35">
        <v>205766</v>
      </c>
      <c r="E17" s="26" t="s">
        <v>157</v>
      </c>
      <c r="F17" s="30">
        <v>30</v>
      </c>
      <c r="G17" s="27">
        <v>3.3</v>
      </c>
      <c r="H17" s="27">
        <v>3.3</v>
      </c>
      <c r="I17" s="28">
        <v>60</v>
      </c>
      <c r="J17" s="99">
        <f t="shared" si="0"/>
        <v>198</v>
      </c>
      <c r="K17" s="1"/>
      <c r="L17" s="1"/>
      <c r="M17" s="1"/>
      <c r="N17" s="1"/>
      <c r="P17" s="78"/>
      <c r="Q17" s="78"/>
    </row>
    <row r="18" spans="1:17" ht="25.15" customHeight="1" x14ac:dyDescent="0.25">
      <c r="A18" s="57">
        <v>15</v>
      </c>
      <c r="B18" s="181"/>
      <c r="C18" s="25">
        <v>8888626606965</v>
      </c>
      <c r="D18" s="35">
        <v>205144</v>
      </c>
      <c r="E18" s="26" t="s">
        <v>69</v>
      </c>
      <c r="F18" s="30">
        <v>12</v>
      </c>
      <c r="G18" s="27">
        <v>6.25</v>
      </c>
      <c r="H18" s="27">
        <v>6.25</v>
      </c>
      <c r="I18" s="28">
        <v>48</v>
      </c>
      <c r="J18" s="99">
        <f t="shared" si="0"/>
        <v>300</v>
      </c>
      <c r="K18" s="1"/>
      <c r="L18" s="1"/>
      <c r="M18" s="1"/>
      <c r="N18" s="1"/>
      <c r="P18" s="78"/>
      <c r="Q18" s="78"/>
    </row>
    <row r="19" spans="1:17" ht="25.15" customHeight="1" x14ac:dyDescent="0.25">
      <c r="A19" s="57">
        <v>16</v>
      </c>
      <c r="B19" s="181"/>
      <c r="C19" s="25">
        <v>8888626608686</v>
      </c>
      <c r="D19" s="35">
        <v>206526</v>
      </c>
      <c r="E19" s="26" t="s">
        <v>277</v>
      </c>
      <c r="F19" s="30">
        <v>25</v>
      </c>
      <c r="G19" s="27">
        <v>2</v>
      </c>
      <c r="H19" s="27">
        <v>2</v>
      </c>
      <c r="I19" s="28">
        <v>75</v>
      </c>
      <c r="J19" s="99">
        <f t="shared" si="0"/>
        <v>150</v>
      </c>
      <c r="K19" s="1"/>
      <c r="L19" s="1"/>
      <c r="M19" s="1"/>
      <c r="N19" s="1"/>
      <c r="P19" s="78"/>
      <c r="Q19" s="78"/>
    </row>
    <row r="20" spans="1:17" ht="25.15" customHeight="1" x14ac:dyDescent="0.25">
      <c r="A20" s="57">
        <v>17</v>
      </c>
      <c r="B20" s="181"/>
      <c r="C20" s="25">
        <v>8888626608556</v>
      </c>
      <c r="D20" s="35">
        <v>206494</v>
      </c>
      <c r="E20" s="26" t="s">
        <v>278</v>
      </c>
      <c r="F20" s="30">
        <v>20</v>
      </c>
      <c r="G20" s="27">
        <v>2.5</v>
      </c>
      <c r="H20" s="27">
        <v>2.5</v>
      </c>
      <c r="I20" s="28">
        <v>80</v>
      </c>
      <c r="J20" s="99">
        <f t="shared" si="0"/>
        <v>200</v>
      </c>
      <c r="K20" s="1"/>
      <c r="L20" s="1"/>
      <c r="M20" s="1"/>
      <c r="N20" s="1"/>
      <c r="P20" s="78"/>
      <c r="Q20" s="78"/>
    </row>
    <row r="21" spans="1:17" ht="25.15" customHeight="1" x14ac:dyDescent="0.25">
      <c r="A21" s="57">
        <v>18</v>
      </c>
      <c r="B21" s="181"/>
      <c r="C21" s="25">
        <v>8888626002095</v>
      </c>
      <c r="D21" s="35">
        <v>202315</v>
      </c>
      <c r="E21" s="26" t="s">
        <v>246</v>
      </c>
      <c r="F21" s="30">
        <v>12</v>
      </c>
      <c r="G21" s="27">
        <v>7</v>
      </c>
      <c r="H21" s="27">
        <v>7</v>
      </c>
      <c r="I21" s="28">
        <v>72</v>
      </c>
      <c r="J21" s="99">
        <f t="shared" si="0"/>
        <v>504</v>
      </c>
      <c r="K21" s="1"/>
      <c r="L21" s="1"/>
      <c r="M21" s="1"/>
      <c r="N21" s="1"/>
      <c r="P21" s="78"/>
      <c r="Q21" s="78"/>
    </row>
    <row r="22" spans="1:17" ht="25.15" customHeight="1" x14ac:dyDescent="0.25">
      <c r="A22" s="57">
        <v>19</v>
      </c>
      <c r="B22" s="181"/>
      <c r="C22" s="25">
        <v>8888626608600</v>
      </c>
      <c r="D22" s="35">
        <v>206491</v>
      </c>
      <c r="E22" s="106" t="s">
        <v>333</v>
      </c>
      <c r="F22" s="30">
        <v>20</v>
      </c>
      <c r="G22" s="27">
        <v>6.45</v>
      </c>
      <c r="H22" s="27">
        <v>6.45</v>
      </c>
      <c r="I22" s="28">
        <v>60</v>
      </c>
      <c r="J22" s="99">
        <f t="shared" si="0"/>
        <v>387</v>
      </c>
      <c r="K22" s="1"/>
      <c r="L22" s="1"/>
      <c r="M22" s="1"/>
      <c r="N22" s="1"/>
      <c r="P22" s="78"/>
      <c r="Q22" s="78"/>
    </row>
    <row r="23" spans="1:17" ht="25.15" customHeight="1" x14ac:dyDescent="0.25">
      <c r="A23" s="57">
        <v>20</v>
      </c>
      <c r="B23" s="181"/>
      <c r="C23" s="25">
        <v>8888626608945</v>
      </c>
      <c r="D23" s="35">
        <v>206579</v>
      </c>
      <c r="E23" s="106" t="s">
        <v>309</v>
      </c>
      <c r="F23" s="30">
        <v>20</v>
      </c>
      <c r="G23" s="27">
        <v>5.5</v>
      </c>
      <c r="H23" s="27">
        <v>5.5</v>
      </c>
      <c r="I23" s="28">
        <v>60</v>
      </c>
      <c r="J23" s="99">
        <f t="shared" si="0"/>
        <v>330</v>
      </c>
      <c r="K23" s="1"/>
      <c r="L23" s="1"/>
      <c r="M23" s="1"/>
      <c r="N23" s="1"/>
      <c r="P23" s="78"/>
      <c r="Q23" s="78"/>
    </row>
    <row r="24" spans="1:17" ht="25.15" customHeight="1" x14ac:dyDescent="0.25">
      <c r="A24" s="57">
        <v>21</v>
      </c>
      <c r="B24" s="181"/>
      <c r="C24" s="25">
        <v>8888626608136</v>
      </c>
      <c r="D24" s="35">
        <v>206188</v>
      </c>
      <c r="E24" s="106" t="s">
        <v>193</v>
      </c>
      <c r="F24" s="30">
        <v>20</v>
      </c>
      <c r="G24" s="27">
        <v>7.95</v>
      </c>
      <c r="H24" s="27">
        <v>7.95</v>
      </c>
      <c r="I24" s="28">
        <v>60</v>
      </c>
      <c r="J24" s="99">
        <f t="shared" si="0"/>
        <v>477</v>
      </c>
      <c r="K24" s="1"/>
      <c r="L24" s="1"/>
      <c r="M24" s="1"/>
      <c r="N24" s="1"/>
      <c r="P24" s="78"/>
      <c r="Q24" s="78"/>
    </row>
    <row r="25" spans="1:17" ht="25.15" customHeight="1" x14ac:dyDescent="0.25">
      <c r="A25" s="57">
        <v>22</v>
      </c>
      <c r="B25" s="181"/>
      <c r="C25" s="25">
        <v>8888626002064</v>
      </c>
      <c r="D25" s="35">
        <v>202311</v>
      </c>
      <c r="E25" s="106" t="s">
        <v>308</v>
      </c>
      <c r="F25" s="30">
        <v>20</v>
      </c>
      <c r="G25" s="27">
        <v>9.9499999999999993</v>
      </c>
      <c r="H25" s="27">
        <v>9.9499999999999993</v>
      </c>
      <c r="I25" s="28">
        <v>40</v>
      </c>
      <c r="J25" s="99">
        <f t="shared" si="0"/>
        <v>398</v>
      </c>
      <c r="K25" s="1"/>
      <c r="L25" s="1"/>
      <c r="M25" s="1"/>
      <c r="N25" s="1"/>
      <c r="P25" s="78"/>
      <c r="Q25" s="78"/>
    </row>
    <row r="26" spans="1:17" ht="25.15" customHeight="1" x14ac:dyDescent="0.25">
      <c r="A26" s="57">
        <v>23</v>
      </c>
      <c r="B26" s="181"/>
      <c r="C26" s="25">
        <v>8888626608204</v>
      </c>
      <c r="D26" s="35">
        <v>206384</v>
      </c>
      <c r="E26" s="26" t="s">
        <v>247</v>
      </c>
      <c r="F26" s="30">
        <v>14</v>
      </c>
      <c r="G26" s="27">
        <v>7.95</v>
      </c>
      <c r="H26" s="27">
        <v>7.95</v>
      </c>
      <c r="I26" s="28">
        <v>70</v>
      </c>
      <c r="J26" s="99">
        <f t="shared" si="0"/>
        <v>556.5</v>
      </c>
      <c r="P26" s="78"/>
      <c r="Q26" s="78"/>
    </row>
    <row r="27" spans="1:17" ht="25.15" customHeight="1" x14ac:dyDescent="0.25">
      <c r="A27" s="57">
        <v>24</v>
      </c>
      <c r="B27" s="181"/>
      <c r="C27" s="25">
        <v>8888626606811</v>
      </c>
      <c r="D27" s="35">
        <v>205214</v>
      </c>
      <c r="E27" s="26" t="s">
        <v>284</v>
      </c>
      <c r="F27" s="30">
        <v>12</v>
      </c>
      <c r="G27" s="27">
        <v>6</v>
      </c>
      <c r="H27" s="27">
        <v>6</v>
      </c>
      <c r="I27" s="28">
        <v>60</v>
      </c>
      <c r="J27" s="99">
        <f t="shared" si="0"/>
        <v>360</v>
      </c>
      <c r="P27" s="78"/>
      <c r="Q27" s="78"/>
    </row>
    <row r="28" spans="1:17" ht="25.15" customHeight="1" x14ac:dyDescent="0.25">
      <c r="A28" s="57">
        <v>25</v>
      </c>
      <c r="B28" s="181"/>
      <c r="C28" s="25">
        <v>8888626608112</v>
      </c>
      <c r="D28" s="35">
        <v>206186</v>
      </c>
      <c r="E28" s="26" t="s">
        <v>207</v>
      </c>
      <c r="F28" s="30">
        <v>24</v>
      </c>
      <c r="G28" s="27">
        <v>4.95</v>
      </c>
      <c r="H28" s="27">
        <v>4.95</v>
      </c>
      <c r="I28" s="28">
        <v>48</v>
      </c>
      <c r="J28" s="99">
        <f t="shared" si="0"/>
        <v>237.60000000000002</v>
      </c>
      <c r="P28" s="78"/>
      <c r="Q28" s="78"/>
    </row>
    <row r="29" spans="1:17" ht="25.15" customHeight="1" x14ac:dyDescent="0.25">
      <c r="A29" s="57">
        <v>26</v>
      </c>
      <c r="B29" s="181"/>
      <c r="C29" s="25">
        <v>8888626607474</v>
      </c>
      <c r="D29" s="35">
        <v>205398</v>
      </c>
      <c r="E29" s="26" t="s">
        <v>226</v>
      </c>
      <c r="F29" s="30">
        <v>12</v>
      </c>
      <c r="G29" s="27">
        <v>4.75</v>
      </c>
      <c r="H29" s="27">
        <v>4.75</v>
      </c>
      <c r="I29" s="28">
        <v>60</v>
      </c>
      <c r="J29" s="99">
        <f t="shared" si="0"/>
        <v>285</v>
      </c>
      <c r="P29" s="78"/>
      <c r="Q29" s="78"/>
    </row>
    <row r="30" spans="1:17" ht="25.15" customHeight="1" x14ac:dyDescent="0.25">
      <c r="A30" s="57">
        <v>27</v>
      </c>
      <c r="B30" s="181"/>
      <c r="C30" s="25">
        <v>8888626001906</v>
      </c>
      <c r="D30" s="35">
        <v>202208</v>
      </c>
      <c r="E30" s="26" t="s">
        <v>227</v>
      </c>
      <c r="F30" s="30">
        <v>12</v>
      </c>
      <c r="G30" s="27">
        <v>12</v>
      </c>
      <c r="H30" s="27">
        <v>12</v>
      </c>
      <c r="I30" s="28">
        <v>48</v>
      </c>
      <c r="J30" s="99">
        <f t="shared" si="0"/>
        <v>576</v>
      </c>
      <c r="K30" s="154"/>
      <c r="M30" s="105"/>
      <c r="O30" s="78"/>
      <c r="P30" s="78"/>
      <c r="Q30" s="78"/>
    </row>
    <row r="31" spans="1:17" ht="25.15" customHeight="1" x14ac:dyDescent="0.25">
      <c r="A31" s="57">
        <v>28</v>
      </c>
      <c r="B31" s="181"/>
      <c r="C31" s="25">
        <v>8888626030708</v>
      </c>
      <c r="D31" s="35">
        <v>202624</v>
      </c>
      <c r="E31" s="26" t="s">
        <v>337</v>
      </c>
      <c r="F31" s="30">
        <v>20</v>
      </c>
      <c r="G31" s="27">
        <v>9</v>
      </c>
      <c r="H31" s="27">
        <v>9</v>
      </c>
      <c r="I31" s="28">
        <v>60</v>
      </c>
      <c r="J31" s="99">
        <f t="shared" si="0"/>
        <v>540</v>
      </c>
      <c r="K31" s="154"/>
      <c r="M31" s="105"/>
      <c r="O31" s="78"/>
      <c r="P31" s="78"/>
      <c r="Q31" s="78"/>
    </row>
    <row r="32" spans="1:17" ht="25.15" customHeight="1" x14ac:dyDescent="0.25">
      <c r="A32" s="57">
        <v>29</v>
      </c>
      <c r="B32" s="181"/>
      <c r="C32" s="25">
        <v>8888626606538</v>
      </c>
      <c r="D32" s="35">
        <v>204741</v>
      </c>
      <c r="E32" s="26" t="s">
        <v>292</v>
      </c>
      <c r="F32" s="30">
        <v>20</v>
      </c>
      <c r="G32" s="27">
        <v>5.75</v>
      </c>
      <c r="H32" s="27">
        <v>5.75</v>
      </c>
      <c r="I32" s="28">
        <v>20</v>
      </c>
      <c r="J32" s="99">
        <f t="shared" si="0"/>
        <v>115</v>
      </c>
      <c r="K32" s="154"/>
      <c r="M32" s="105"/>
      <c r="O32" s="78"/>
      <c r="P32" s="78"/>
      <c r="Q32" s="78"/>
    </row>
    <row r="33" spans="1:17" ht="25.15" customHeight="1" x14ac:dyDescent="0.25">
      <c r="A33" s="57">
        <v>30</v>
      </c>
      <c r="B33" s="181"/>
      <c r="C33" s="25">
        <v>8888626608709</v>
      </c>
      <c r="D33" s="35">
        <v>206561</v>
      </c>
      <c r="E33" s="26" t="s">
        <v>288</v>
      </c>
      <c r="F33" s="30">
        <v>15</v>
      </c>
      <c r="G33" s="27">
        <v>5.5</v>
      </c>
      <c r="H33" s="27">
        <v>5.5</v>
      </c>
      <c r="I33" s="28">
        <v>45</v>
      </c>
      <c r="J33" s="99">
        <f t="shared" si="0"/>
        <v>247.5</v>
      </c>
      <c r="K33" s="154"/>
      <c r="M33" s="105"/>
      <c r="O33" s="78"/>
      <c r="P33" s="78"/>
      <c r="Q33" s="78"/>
    </row>
    <row r="34" spans="1:17" ht="25.15" customHeight="1" x14ac:dyDescent="0.25">
      <c r="A34" s="57">
        <v>31</v>
      </c>
      <c r="B34" s="181"/>
      <c r="C34" s="25">
        <v>8888626608693</v>
      </c>
      <c r="D34" s="35">
        <v>206562</v>
      </c>
      <c r="E34" s="26" t="s">
        <v>289</v>
      </c>
      <c r="F34" s="30">
        <v>15</v>
      </c>
      <c r="G34" s="27">
        <v>5.5</v>
      </c>
      <c r="H34" s="27">
        <v>5.5</v>
      </c>
      <c r="I34" s="28">
        <v>45</v>
      </c>
      <c r="J34" s="99">
        <f t="shared" si="0"/>
        <v>247.5</v>
      </c>
      <c r="K34" s="154"/>
      <c r="M34" s="105"/>
      <c r="O34" s="78"/>
      <c r="P34" s="78"/>
      <c r="Q34" s="78"/>
    </row>
    <row r="35" spans="1:17" ht="25.15" customHeight="1" x14ac:dyDescent="0.25">
      <c r="A35" s="57">
        <v>32</v>
      </c>
      <c r="B35" s="181"/>
      <c r="C35" s="25">
        <v>8888626608723</v>
      </c>
      <c r="D35" s="35">
        <v>206564</v>
      </c>
      <c r="E35" s="158" t="s">
        <v>291</v>
      </c>
      <c r="F35" s="30">
        <v>12</v>
      </c>
      <c r="G35" s="27">
        <v>5</v>
      </c>
      <c r="H35" s="27">
        <v>5</v>
      </c>
      <c r="I35" s="28">
        <v>60</v>
      </c>
      <c r="J35" s="99">
        <f t="shared" si="0"/>
        <v>300</v>
      </c>
      <c r="K35" s="154"/>
      <c r="M35" s="105"/>
      <c r="O35" s="78"/>
      <c r="P35" s="78"/>
      <c r="Q35" s="78"/>
    </row>
    <row r="36" spans="1:17" ht="21" customHeight="1" x14ac:dyDescent="0.25">
      <c r="A36" s="57">
        <v>33</v>
      </c>
      <c r="B36" s="181"/>
      <c r="C36" s="25">
        <v>8888626608440</v>
      </c>
      <c r="D36" s="35">
        <v>206396</v>
      </c>
      <c r="E36" s="26" t="s">
        <v>228</v>
      </c>
      <c r="F36" s="30">
        <v>24</v>
      </c>
      <c r="G36" s="27">
        <v>4</v>
      </c>
      <c r="H36" s="27">
        <v>4</v>
      </c>
      <c r="I36" s="28">
        <v>48</v>
      </c>
      <c r="J36" s="99">
        <f t="shared" si="0"/>
        <v>192</v>
      </c>
      <c r="K36" s="154"/>
      <c r="M36" s="105"/>
      <c r="O36" s="78"/>
      <c r="P36" s="78"/>
      <c r="Q36" s="78"/>
    </row>
    <row r="37" spans="1:17" ht="31.5" x14ac:dyDescent="0.25">
      <c r="A37" s="57">
        <v>34</v>
      </c>
      <c r="B37" s="181"/>
      <c r="C37" s="25" t="s">
        <v>335</v>
      </c>
      <c r="D37" s="35">
        <v>202612</v>
      </c>
      <c r="E37" s="26" t="s">
        <v>341</v>
      </c>
      <c r="F37" s="30">
        <v>10</v>
      </c>
      <c r="G37" s="27">
        <v>3.25</v>
      </c>
      <c r="H37" s="27">
        <v>3.25</v>
      </c>
      <c r="I37" s="28">
        <v>50</v>
      </c>
      <c r="J37" s="99">
        <f t="shared" si="0"/>
        <v>162.5</v>
      </c>
      <c r="K37" s="154"/>
      <c r="M37" s="105"/>
      <c r="O37" s="78"/>
      <c r="P37" s="78"/>
      <c r="Q37" s="78"/>
    </row>
    <row r="38" spans="1:17" ht="37.15" customHeight="1" x14ac:dyDescent="0.25">
      <c r="A38" s="57">
        <v>35</v>
      </c>
      <c r="B38" s="181"/>
      <c r="C38" s="25" t="s">
        <v>336</v>
      </c>
      <c r="D38" s="35">
        <v>202613</v>
      </c>
      <c r="E38" s="26" t="s">
        <v>342</v>
      </c>
      <c r="F38" s="30">
        <v>10</v>
      </c>
      <c r="G38" s="27">
        <v>3.25</v>
      </c>
      <c r="H38" s="27">
        <v>3.25</v>
      </c>
      <c r="I38" s="28">
        <v>20</v>
      </c>
      <c r="J38" s="99">
        <f t="shared" si="0"/>
        <v>65</v>
      </c>
      <c r="K38" s="154"/>
      <c r="M38" s="105"/>
      <c r="O38" s="78"/>
      <c r="P38" s="78"/>
      <c r="Q38" s="78"/>
    </row>
    <row r="39" spans="1:17" ht="23.45" customHeight="1" x14ac:dyDescent="0.25">
      <c r="A39" s="57">
        <v>36</v>
      </c>
      <c r="B39" s="181"/>
      <c r="C39" s="25">
        <v>8888626607634</v>
      </c>
      <c r="D39" s="35">
        <v>206609</v>
      </c>
      <c r="E39" s="26" t="s">
        <v>343</v>
      </c>
      <c r="F39" s="30">
        <v>20</v>
      </c>
      <c r="G39" s="27">
        <v>4.5</v>
      </c>
      <c r="H39" s="27">
        <v>4.5</v>
      </c>
      <c r="I39" s="28">
        <v>40</v>
      </c>
      <c r="J39" s="99">
        <f t="shared" si="0"/>
        <v>180</v>
      </c>
      <c r="K39" s="154"/>
      <c r="M39" s="105"/>
      <c r="O39" s="78"/>
      <c r="P39" s="78"/>
      <c r="Q39" s="78"/>
    </row>
    <row r="40" spans="1:17" ht="21" customHeight="1" x14ac:dyDescent="0.25">
      <c r="A40" s="57">
        <v>37</v>
      </c>
      <c r="B40" s="181"/>
      <c r="C40" s="25">
        <v>8888626608969</v>
      </c>
      <c r="D40" s="35">
        <v>206581</v>
      </c>
      <c r="E40" s="26" t="s">
        <v>344</v>
      </c>
      <c r="F40" s="30">
        <v>20</v>
      </c>
      <c r="G40" s="27">
        <v>7.95</v>
      </c>
      <c r="H40" s="27">
        <v>7.95</v>
      </c>
      <c r="I40" s="28">
        <v>20</v>
      </c>
      <c r="J40" s="99">
        <f t="shared" si="0"/>
        <v>159</v>
      </c>
      <c r="K40" s="154"/>
      <c r="M40" s="105"/>
      <c r="O40" s="78"/>
    </row>
    <row r="41" spans="1:17" ht="21" customHeight="1" x14ac:dyDescent="0.25">
      <c r="A41" s="57">
        <v>38</v>
      </c>
      <c r="B41" s="182"/>
      <c r="C41" s="25">
        <v>8888626608075</v>
      </c>
      <c r="D41" s="79">
        <v>824910</v>
      </c>
      <c r="E41" s="160" t="s">
        <v>334</v>
      </c>
      <c r="F41" s="83">
        <v>36</v>
      </c>
      <c r="G41" s="27">
        <v>2.5</v>
      </c>
      <c r="H41" s="27">
        <v>2.5</v>
      </c>
      <c r="I41" s="28">
        <v>72</v>
      </c>
      <c r="J41" s="99">
        <f t="shared" si="0"/>
        <v>180</v>
      </c>
      <c r="K41" s="154"/>
      <c r="M41" s="105"/>
      <c r="O41" s="78"/>
    </row>
    <row r="42" spans="1:17" ht="21" customHeight="1" x14ac:dyDescent="0.25">
      <c r="A42" s="57">
        <v>39</v>
      </c>
      <c r="B42" s="35" t="s">
        <v>338</v>
      </c>
      <c r="C42" s="49">
        <v>8888626002071</v>
      </c>
      <c r="D42" s="79">
        <v>202312</v>
      </c>
      <c r="E42" s="69" t="s">
        <v>34</v>
      </c>
      <c r="F42" s="83">
        <v>24</v>
      </c>
      <c r="G42" s="27">
        <v>1.95</v>
      </c>
      <c r="H42" s="27">
        <v>1.95</v>
      </c>
      <c r="I42" s="28">
        <v>120</v>
      </c>
      <c r="J42" s="99">
        <f t="shared" si="0"/>
        <v>234</v>
      </c>
      <c r="K42" s="154"/>
      <c r="M42" s="105"/>
      <c r="O42" s="78"/>
    </row>
    <row r="43" spans="1:17" ht="21" customHeight="1" x14ac:dyDescent="0.25">
      <c r="A43" s="57">
        <v>40</v>
      </c>
      <c r="B43" s="177" t="s">
        <v>105</v>
      </c>
      <c r="C43" s="25">
        <v>8888626005362</v>
      </c>
      <c r="D43" s="35">
        <v>202326</v>
      </c>
      <c r="E43" s="26" t="s">
        <v>94</v>
      </c>
      <c r="F43" s="30">
        <v>12</v>
      </c>
      <c r="G43" s="27">
        <v>7.95</v>
      </c>
      <c r="H43" s="27">
        <v>7.95</v>
      </c>
      <c r="I43" s="28">
        <v>24</v>
      </c>
      <c r="J43" s="99">
        <f t="shared" si="0"/>
        <v>190.8</v>
      </c>
      <c r="K43" s="154"/>
      <c r="M43" s="105"/>
      <c r="O43" s="78"/>
    </row>
    <row r="44" spans="1:17" ht="21" customHeight="1" x14ac:dyDescent="0.25">
      <c r="A44" s="57">
        <v>41</v>
      </c>
      <c r="B44" s="177"/>
      <c r="C44" s="25">
        <v>8888626005379</v>
      </c>
      <c r="D44" s="35">
        <v>202327</v>
      </c>
      <c r="E44" s="26" t="s">
        <v>95</v>
      </c>
      <c r="F44" s="30">
        <v>12</v>
      </c>
      <c r="G44" s="27">
        <v>7.95</v>
      </c>
      <c r="H44" s="27">
        <v>7.95</v>
      </c>
      <c r="I44" s="28">
        <v>48</v>
      </c>
      <c r="J44" s="99">
        <f t="shared" si="0"/>
        <v>381.6</v>
      </c>
      <c r="K44" s="154"/>
      <c r="M44" s="105"/>
      <c r="O44" s="78"/>
    </row>
    <row r="45" spans="1:17" ht="21" customHeight="1" x14ac:dyDescent="0.25">
      <c r="A45" s="171" t="s">
        <v>16</v>
      </c>
      <c r="B45" s="178"/>
      <c r="C45" s="178"/>
      <c r="D45" s="178"/>
      <c r="E45" s="178"/>
      <c r="F45" s="178"/>
      <c r="G45" s="178"/>
      <c r="H45" s="178"/>
      <c r="I45" s="179"/>
      <c r="J45" s="61">
        <f>SUM(J4:J44)</f>
        <v>18582.819999999996</v>
      </c>
    </row>
    <row r="46" spans="1:17" ht="21" customHeight="1" x14ac:dyDescent="0.25">
      <c r="A46" s="11"/>
      <c r="B46" s="12"/>
      <c r="C46" s="12"/>
      <c r="D46" s="12"/>
      <c r="E46" s="10"/>
      <c r="F46" s="11"/>
      <c r="G46" s="10"/>
      <c r="H46" s="11"/>
      <c r="I46" s="5"/>
      <c r="J46" s="145"/>
    </row>
    <row r="47" spans="1:17" ht="21" customHeight="1" x14ac:dyDescent="0.25">
      <c r="A47" s="11"/>
      <c r="B47" s="12"/>
      <c r="C47" s="12"/>
      <c r="D47" s="12"/>
      <c r="E47" s="10"/>
      <c r="F47" s="11"/>
      <c r="G47" s="77"/>
      <c r="H47" s="77"/>
      <c r="I47" s="5"/>
      <c r="J47" s="11"/>
    </row>
    <row r="48" spans="1:17" ht="21" customHeight="1" x14ac:dyDescent="0.25">
      <c r="A48" s="11"/>
      <c r="B48" s="12"/>
      <c r="C48" s="12"/>
      <c r="D48" s="12"/>
      <c r="E48" s="10"/>
      <c r="F48" s="11"/>
      <c r="G48" s="10"/>
      <c r="H48" s="11"/>
      <c r="I48" s="5"/>
      <c r="J48" s="11"/>
    </row>
    <row r="49" spans="1:10" ht="21" customHeight="1" x14ac:dyDescent="0.25">
      <c r="A49" s="11"/>
      <c r="B49" s="12"/>
      <c r="C49" s="12"/>
      <c r="D49" s="12"/>
      <c r="E49" s="10"/>
      <c r="F49" s="11"/>
      <c r="G49" s="10"/>
      <c r="H49" s="11"/>
      <c r="I49" s="5"/>
      <c r="J49" s="11"/>
    </row>
    <row r="50" spans="1:10" ht="21" customHeight="1" x14ac:dyDescent="0.25">
      <c r="A50" s="11"/>
      <c r="B50" s="12"/>
      <c r="C50" s="12"/>
      <c r="D50" s="12"/>
      <c r="E50" s="10"/>
      <c r="F50" s="11"/>
      <c r="G50" s="10"/>
      <c r="H50" s="11"/>
      <c r="I50" s="5"/>
      <c r="J50" s="11"/>
    </row>
    <row r="51" spans="1:10" ht="21" customHeight="1" x14ac:dyDescent="0.25">
      <c r="A51" s="11"/>
      <c r="B51" s="12"/>
      <c r="C51" s="12"/>
      <c r="D51" s="12"/>
      <c r="E51" s="10"/>
      <c r="F51" s="11"/>
      <c r="G51" s="10"/>
      <c r="H51" s="11"/>
      <c r="I51" s="5"/>
      <c r="J51" s="11"/>
    </row>
    <row r="52" spans="1:10" ht="21" customHeight="1" x14ac:dyDescent="0.25">
      <c r="A52" s="11"/>
      <c r="B52" s="12"/>
      <c r="C52" s="12"/>
      <c r="D52" s="12"/>
      <c r="E52" s="10"/>
      <c r="F52" s="11"/>
      <c r="G52" s="10"/>
      <c r="H52" s="11"/>
      <c r="I52" s="5"/>
      <c r="J52" s="11"/>
    </row>
    <row r="53" spans="1:10" ht="21" customHeight="1" x14ac:dyDescent="0.25">
      <c r="A53" s="11"/>
      <c r="B53" s="12"/>
      <c r="C53" s="12"/>
      <c r="D53" s="12"/>
      <c r="E53" s="10"/>
      <c r="F53" s="11"/>
      <c r="G53" s="10"/>
      <c r="H53" s="11"/>
      <c r="I53" s="5"/>
      <c r="J53" s="11"/>
    </row>
    <row r="54" spans="1:10" ht="21" customHeight="1" x14ac:dyDescent="0.25">
      <c r="A54" s="11"/>
      <c r="B54" s="12"/>
      <c r="C54" s="12"/>
      <c r="D54" s="12"/>
      <c r="E54" s="10"/>
      <c r="F54" s="11"/>
      <c r="G54" s="10"/>
      <c r="H54" s="11"/>
      <c r="I54" s="5"/>
      <c r="J54" s="11"/>
    </row>
    <row r="55" spans="1:10" ht="21" customHeight="1" x14ac:dyDescent="0.25">
      <c r="A55" s="11"/>
      <c r="B55" s="12"/>
      <c r="C55" s="12"/>
      <c r="D55" s="12"/>
      <c r="E55" s="10"/>
      <c r="F55" s="11"/>
      <c r="G55" s="10"/>
      <c r="H55" s="11"/>
      <c r="I55" s="5"/>
      <c r="J55" s="11"/>
    </row>
    <row r="56" spans="1:10" ht="21" customHeight="1" x14ac:dyDescent="0.25">
      <c r="A56" s="11"/>
      <c r="B56" s="12"/>
      <c r="C56" s="12"/>
      <c r="D56" s="12"/>
      <c r="E56" s="10"/>
      <c r="F56" s="11"/>
      <c r="G56" s="10"/>
      <c r="H56" s="11"/>
      <c r="I56" s="5"/>
      <c r="J56" s="11"/>
    </row>
    <row r="57" spans="1:10" ht="21" customHeight="1" x14ac:dyDescent="0.25">
      <c r="A57" s="11"/>
      <c r="B57" s="12"/>
      <c r="C57" s="12"/>
      <c r="D57" s="12"/>
      <c r="E57" s="10"/>
      <c r="F57" s="11"/>
      <c r="G57" s="10"/>
      <c r="H57" s="11"/>
      <c r="I57" s="5"/>
      <c r="J57" s="11"/>
    </row>
    <row r="58" spans="1:10" ht="21" customHeight="1" x14ac:dyDescent="0.25">
      <c r="A58" s="11"/>
      <c r="B58" s="12"/>
      <c r="C58" s="12"/>
      <c r="D58" s="12"/>
      <c r="E58" s="10"/>
      <c r="F58" s="11"/>
      <c r="G58" s="10"/>
      <c r="H58" s="11"/>
      <c r="I58" s="5"/>
      <c r="J58" s="11"/>
    </row>
    <row r="59" spans="1:10" ht="21" customHeight="1" x14ac:dyDescent="0.25">
      <c r="A59" s="11"/>
      <c r="B59" s="12"/>
      <c r="C59" s="12"/>
      <c r="D59" s="12"/>
      <c r="E59" s="10"/>
      <c r="F59" s="11"/>
      <c r="G59" s="10"/>
      <c r="H59" s="11"/>
      <c r="I59" s="5"/>
      <c r="J59" s="11"/>
    </row>
    <row r="60" spans="1:10" ht="21" customHeight="1" x14ac:dyDescent="0.25">
      <c r="A60" s="11"/>
      <c r="B60" s="12"/>
      <c r="C60" s="12"/>
      <c r="D60" s="12"/>
      <c r="E60" s="10"/>
      <c r="F60" s="11"/>
      <c r="G60" s="10"/>
      <c r="H60" s="11"/>
      <c r="I60" s="5"/>
      <c r="J60" s="11"/>
    </row>
    <row r="61" spans="1:10" ht="21" customHeight="1" x14ac:dyDescent="0.25">
      <c r="A61" s="11"/>
      <c r="B61" s="12"/>
      <c r="C61" s="12"/>
      <c r="D61" s="12"/>
      <c r="E61" s="10"/>
      <c r="F61" s="11"/>
      <c r="G61" s="10"/>
      <c r="H61" s="11"/>
      <c r="I61" s="5"/>
      <c r="J61" s="11"/>
    </row>
    <row r="62" spans="1:10" ht="21" customHeight="1" x14ac:dyDescent="0.25">
      <c r="A62" s="11"/>
      <c r="B62" s="12"/>
      <c r="C62" s="12"/>
      <c r="D62" s="12"/>
      <c r="E62" s="10"/>
      <c r="F62" s="11"/>
      <c r="G62" s="10"/>
      <c r="H62" s="11"/>
      <c r="I62" s="5"/>
      <c r="J62" s="11"/>
    </row>
    <row r="63" spans="1:10" ht="21" customHeight="1" x14ac:dyDescent="0.25">
      <c r="A63" s="11"/>
      <c r="B63" s="12"/>
      <c r="C63" s="12"/>
      <c r="D63" s="12"/>
      <c r="E63" s="10"/>
      <c r="F63" s="11"/>
      <c r="G63" s="10"/>
      <c r="H63" s="11"/>
      <c r="I63" s="5"/>
      <c r="J63" s="11"/>
    </row>
    <row r="64" spans="1:10" ht="21" customHeight="1" x14ac:dyDescent="0.25">
      <c r="A64" s="11"/>
      <c r="B64" s="12"/>
      <c r="C64" s="12"/>
      <c r="D64" s="12"/>
      <c r="E64" s="10"/>
      <c r="F64" s="11"/>
      <c r="G64" s="10"/>
      <c r="H64" s="11"/>
      <c r="I64" s="5"/>
      <c r="J64" s="11"/>
    </row>
    <row r="65" spans="1:10" ht="21" customHeight="1" x14ac:dyDescent="0.25">
      <c r="A65" s="11"/>
      <c r="B65" s="12"/>
      <c r="C65" s="12"/>
      <c r="D65" s="12"/>
      <c r="E65" s="10"/>
      <c r="F65" s="11"/>
      <c r="G65" s="10"/>
      <c r="H65" s="11"/>
      <c r="I65" s="5"/>
      <c r="J65" s="11"/>
    </row>
    <row r="66" spans="1:10" ht="21" customHeight="1" x14ac:dyDescent="0.25">
      <c r="A66" s="11"/>
      <c r="B66" s="12"/>
      <c r="C66" s="12"/>
      <c r="D66" s="12"/>
      <c r="E66" s="10"/>
      <c r="F66" s="11"/>
      <c r="G66" s="10"/>
      <c r="H66" s="11"/>
      <c r="I66" s="5"/>
      <c r="J66" s="11"/>
    </row>
    <row r="67" spans="1:10" ht="21" customHeight="1" x14ac:dyDescent="0.25">
      <c r="A67" s="11"/>
      <c r="B67" s="12"/>
      <c r="C67" s="12"/>
      <c r="D67" s="12"/>
      <c r="E67" s="10"/>
      <c r="F67" s="11"/>
      <c r="G67" s="10"/>
      <c r="H67" s="11"/>
      <c r="I67" s="5"/>
      <c r="J67" s="11"/>
    </row>
    <row r="68" spans="1:10" ht="21" customHeight="1" x14ac:dyDescent="0.25">
      <c r="A68" s="11"/>
      <c r="B68" s="12"/>
      <c r="C68" s="12"/>
      <c r="D68" s="12"/>
      <c r="E68" s="10"/>
      <c r="F68" s="11"/>
      <c r="G68" s="10"/>
      <c r="H68" s="11"/>
      <c r="I68" s="5"/>
      <c r="J68" s="11"/>
    </row>
    <row r="69" spans="1:10" ht="21" customHeight="1" x14ac:dyDescent="0.25">
      <c r="A69" s="11"/>
      <c r="B69" s="12"/>
      <c r="C69" s="12"/>
      <c r="D69" s="12"/>
      <c r="E69" s="10"/>
      <c r="F69" s="11"/>
      <c r="G69" s="10"/>
      <c r="H69" s="11"/>
      <c r="I69" s="5"/>
      <c r="J69" s="11"/>
    </row>
    <row r="70" spans="1:10" ht="21" customHeight="1" x14ac:dyDescent="0.25">
      <c r="A70" s="11"/>
      <c r="B70" s="12"/>
      <c r="C70" s="12"/>
      <c r="D70" s="12"/>
      <c r="E70" s="10"/>
      <c r="F70" s="11"/>
      <c r="G70" s="10"/>
      <c r="H70" s="11"/>
      <c r="I70" s="5"/>
      <c r="J70" s="11"/>
    </row>
    <row r="71" spans="1:10" ht="21" customHeight="1" x14ac:dyDescent="0.25">
      <c r="A71" s="11"/>
      <c r="B71" s="12"/>
      <c r="C71" s="12"/>
      <c r="D71" s="12"/>
      <c r="E71" s="10"/>
      <c r="F71" s="11"/>
      <c r="G71" s="10"/>
      <c r="H71" s="11"/>
      <c r="I71" s="5"/>
      <c r="J71" s="11"/>
    </row>
    <row r="72" spans="1:10" ht="21" customHeight="1" x14ac:dyDescent="0.25">
      <c r="A72" s="11"/>
      <c r="B72" s="12"/>
      <c r="C72" s="12"/>
      <c r="D72" s="12"/>
      <c r="E72" s="10"/>
      <c r="F72" s="11"/>
      <c r="G72" s="10"/>
      <c r="H72" s="11"/>
      <c r="I72" s="5"/>
      <c r="J72" s="11"/>
    </row>
    <row r="73" spans="1:10" ht="21" customHeight="1" x14ac:dyDescent="0.25">
      <c r="A73" s="11"/>
      <c r="B73" s="12"/>
      <c r="C73" s="12"/>
      <c r="D73" s="12"/>
      <c r="E73" s="10"/>
      <c r="F73" s="11"/>
      <c r="G73" s="10"/>
      <c r="H73" s="11"/>
      <c r="I73" s="5"/>
      <c r="J73" s="11"/>
    </row>
    <row r="74" spans="1:10" ht="21" customHeight="1" x14ac:dyDescent="0.25">
      <c r="A74" s="11"/>
      <c r="B74" s="12"/>
      <c r="C74" s="12"/>
      <c r="D74" s="12"/>
      <c r="E74" s="10"/>
      <c r="F74" s="11"/>
      <c r="G74" s="10"/>
      <c r="H74" s="11"/>
      <c r="I74" s="5"/>
      <c r="J74" s="11"/>
    </row>
    <row r="75" spans="1:10" ht="21" customHeight="1" x14ac:dyDescent="0.25">
      <c r="A75" s="11"/>
      <c r="B75" s="12"/>
      <c r="C75" s="12"/>
      <c r="D75" s="12"/>
      <c r="E75" s="10"/>
      <c r="F75" s="11"/>
      <c r="G75" s="10"/>
      <c r="H75" s="11"/>
      <c r="I75" s="5"/>
      <c r="J75" s="11"/>
    </row>
    <row r="76" spans="1:10" ht="21" customHeight="1" x14ac:dyDescent="0.25">
      <c r="A76" s="11"/>
      <c r="B76" s="12"/>
      <c r="C76" s="12"/>
      <c r="D76" s="12"/>
      <c r="E76" s="10"/>
      <c r="F76" s="11"/>
      <c r="G76" s="10"/>
      <c r="H76" s="11"/>
      <c r="I76" s="5"/>
      <c r="J76" s="11"/>
    </row>
    <row r="77" spans="1:10" ht="21" customHeight="1" x14ac:dyDescent="0.25">
      <c r="A77" s="11"/>
      <c r="B77" s="12"/>
      <c r="C77" s="12"/>
      <c r="D77" s="12"/>
      <c r="E77" s="10"/>
      <c r="F77" s="11"/>
      <c r="G77" s="10"/>
      <c r="H77" s="11"/>
      <c r="I77" s="5"/>
      <c r="J77" s="11"/>
    </row>
    <row r="78" spans="1:10" ht="21" customHeight="1" x14ac:dyDescent="0.25">
      <c r="A78" s="11"/>
      <c r="B78" s="12"/>
      <c r="C78" s="12"/>
      <c r="D78" s="12"/>
      <c r="E78" s="10"/>
      <c r="F78" s="11"/>
      <c r="G78" s="10"/>
      <c r="H78" s="11"/>
      <c r="I78" s="5"/>
      <c r="J78" s="11"/>
    </row>
    <row r="79" spans="1:10" ht="21" customHeight="1" x14ac:dyDescent="0.25">
      <c r="A79" s="11"/>
      <c r="B79" s="12"/>
      <c r="C79" s="12"/>
      <c r="D79" s="12"/>
      <c r="E79" s="10"/>
      <c r="F79" s="11"/>
      <c r="G79" s="10"/>
      <c r="H79" s="11"/>
      <c r="I79" s="5"/>
      <c r="J79" s="11"/>
    </row>
    <row r="80" spans="1:10" ht="21" customHeight="1" x14ac:dyDescent="0.25">
      <c r="A80" s="11"/>
      <c r="B80" s="12"/>
      <c r="C80" s="12"/>
      <c r="D80" s="12"/>
      <c r="E80" s="10"/>
      <c r="F80" s="11"/>
      <c r="G80" s="10"/>
      <c r="H80" s="11"/>
      <c r="I80" s="5"/>
      <c r="J80" s="11"/>
    </row>
    <row r="81" spans="1:10" ht="21" customHeight="1" x14ac:dyDescent="0.25">
      <c r="A81" s="11"/>
      <c r="B81" s="12"/>
      <c r="C81" s="12"/>
      <c r="D81" s="12"/>
      <c r="E81" s="10"/>
      <c r="F81" s="11"/>
      <c r="G81" s="10"/>
      <c r="H81" s="11"/>
      <c r="I81" s="5"/>
      <c r="J81" s="11"/>
    </row>
    <row r="82" spans="1:10" ht="21" customHeight="1" x14ac:dyDescent="0.25">
      <c r="A82" s="11"/>
      <c r="B82" s="12"/>
      <c r="C82" s="12"/>
      <c r="D82" s="12"/>
      <c r="E82" s="10"/>
      <c r="F82" s="11"/>
      <c r="G82" s="10"/>
      <c r="H82" s="11"/>
      <c r="I82" s="5"/>
      <c r="J82" s="11"/>
    </row>
    <row r="83" spans="1:10" ht="21" customHeight="1" x14ac:dyDescent="0.25">
      <c r="A83" s="11"/>
      <c r="B83" s="12"/>
      <c r="C83" s="12"/>
      <c r="D83" s="12"/>
      <c r="E83" s="10"/>
      <c r="F83" s="11"/>
      <c r="G83" s="10"/>
      <c r="H83" s="11"/>
      <c r="I83" s="5"/>
      <c r="J83" s="11"/>
    </row>
    <row r="84" spans="1:10" ht="21" customHeight="1" x14ac:dyDescent="0.25">
      <c r="A84" s="11"/>
      <c r="B84" s="12"/>
      <c r="C84" s="12"/>
      <c r="D84" s="12"/>
      <c r="E84" s="10"/>
      <c r="F84" s="11"/>
      <c r="G84" s="10"/>
      <c r="H84" s="11"/>
      <c r="I84" s="5"/>
      <c r="J84" s="11"/>
    </row>
    <row r="85" spans="1:10" ht="21" customHeight="1" x14ac:dyDescent="0.25">
      <c r="A85" s="11"/>
      <c r="B85" s="12"/>
      <c r="C85" s="12"/>
      <c r="D85" s="12"/>
      <c r="E85" s="10"/>
      <c r="F85" s="11"/>
      <c r="G85" s="10"/>
      <c r="H85" s="11"/>
      <c r="I85" s="5"/>
      <c r="J85" s="11"/>
    </row>
    <row r="86" spans="1:10" ht="21" customHeight="1" x14ac:dyDescent="0.25">
      <c r="A86" s="11"/>
      <c r="B86" s="12"/>
      <c r="C86" s="12"/>
      <c r="D86" s="12"/>
      <c r="E86" s="10"/>
      <c r="F86" s="11"/>
      <c r="G86" s="10"/>
      <c r="H86" s="11"/>
      <c r="I86" s="5"/>
      <c r="J86" s="11"/>
    </row>
    <row r="87" spans="1:10" ht="21" customHeight="1" x14ac:dyDescent="0.25">
      <c r="A87" s="11"/>
      <c r="B87" s="12"/>
      <c r="C87" s="12"/>
      <c r="D87" s="12"/>
      <c r="E87" s="10"/>
      <c r="F87" s="11"/>
      <c r="G87" s="10"/>
      <c r="H87" s="11"/>
      <c r="I87" s="5"/>
      <c r="J87" s="11"/>
    </row>
    <row r="88" spans="1:10" ht="21" customHeight="1" x14ac:dyDescent="0.25">
      <c r="A88" s="11"/>
      <c r="B88" s="12"/>
      <c r="C88" s="12"/>
      <c r="D88" s="12"/>
      <c r="E88" s="10"/>
      <c r="F88" s="11"/>
      <c r="G88" s="10"/>
      <c r="H88" s="11"/>
      <c r="I88" s="5"/>
      <c r="J88" s="11"/>
    </row>
    <row r="89" spans="1:10" ht="21" customHeight="1" x14ac:dyDescent="0.25">
      <c r="A89" s="11"/>
      <c r="B89" s="12"/>
      <c r="C89" s="12"/>
      <c r="D89" s="12"/>
      <c r="E89" s="10"/>
      <c r="F89" s="11"/>
      <c r="G89" s="10"/>
      <c r="H89" s="11"/>
      <c r="I89" s="5"/>
      <c r="J89" s="11"/>
    </row>
    <row r="90" spans="1:10" ht="21" customHeight="1" x14ac:dyDescent="0.25">
      <c r="A90" s="11"/>
      <c r="B90" s="12"/>
      <c r="C90" s="12"/>
      <c r="D90" s="12"/>
      <c r="E90" s="10"/>
      <c r="F90" s="11"/>
      <c r="G90" s="10"/>
      <c r="H90" s="11"/>
      <c r="I90" s="5"/>
      <c r="J90" s="11"/>
    </row>
    <row r="91" spans="1:10" ht="21" customHeight="1" x14ac:dyDescent="0.25">
      <c r="A91" s="11"/>
      <c r="B91" s="12"/>
      <c r="C91" s="12"/>
      <c r="D91" s="12"/>
      <c r="E91" s="10"/>
      <c r="F91" s="11"/>
      <c r="G91" s="10"/>
      <c r="H91" s="11"/>
      <c r="I91" s="5"/>
      <c r="J91" s="11"/>
    </row>
    <row r="92" spans="1:10" ht="21" customHeight="1" x14ac:dyDescent="0.25">
      <c r="A92" s="11"/>
      <c r="B92" s="12"/>
      <c r="C92" s="12"/>
      <c r="D92" s="12"/>
      <c r="E92" s="10"/>
      <c r="F92" s="11"/>
      <c r="G92" s="10"/>
      <c r="H92" s="11"/>
      <c r="I92" s="5"/>
      <c r="J92" s="11"/>
    </row>
    <row r="93" spans="1:10" ht="21" customHeight="1" x14ac:dyDescent="0.25">
      <c r="A93" s="11"/>
      <c r="B93" s="12"/>
      <c r="C93" s="12"/>
      <c r="D93" s="12"/>
      <c r="E93" s="10"/>
      <c r="F93" s="11"/>
      <c r="G93" s="10"/>
      <c r="H93" s="11"/>
      <c r="I93" s="5"/>
      <c r="J93" s="11"/>
    </row>
    <row r="94" spans="1:10" ht="21" customHeight="1" x14ac:dyDescent="0.25">
      <c r="A94" s="11"/>
      <c r="B94" s="12"/>
      <c r="C94" s="12"/>
      <c r="D94" s="12"/>
      <c r="E94" s="10"/>
      <c r="F94" s="11"/>
      <c r="G94" s="10"/>
      <c r="H94" s="11"/>
      <c r="I94" s="5"/>
      <c r="J94" s="11"/>
    </row>
    <row r="95" spans="1:10" ht="21" customHeight="1" x14ac:dyDescent="0.25">
      <c r="A95" s="11"/>
      <c r="B95" s="12"/>
      <c r="C95" s="12"/>
      <c r="D95" s="12"/>
      <c r="E95" s="10"/>
      <c r="F95" s="11"/>
      <c r="G95" s="10"/>
      <c r="H95" s="11"/>
      <c r="I95" s="5"/>
      <c r="J95" s="11"/>
    </row>
    <row r="96" spans="1:10" ht="21" customHeight="1" x14ac:dyDescent="0.25">
      <c r="A96" s="11"/>
      <c r="B96" s="12"/>
      <c r="C96" s="12"/>
      <c r="D96" s="12"/>
      <c r="E96" s="10"/>
      <c r="F96" s="11"/>
      <c r="G96" s="10"/>
      <c r="H96" s="11"/>
      <c r="I96" s="5"/>
      <c r="J96" s="11"/>
    </row>
    <row r="97" spans="1:10" ht="21" customHeight="1" x14ac:dyDescent="0.25">
      <c r="A97" s="11"/>
      <c r="B97" s="12"/>
      <c r="C97" s="12"/>
      <c r="D97" s="12"/>
      <c r="E97" s="10"/>
      <c r="F97" s="11"/>
      <c r="G97" s="10"/>
      <c r="H97" s="11"/>
      <c r="I97" s="5"/>
      <c r="J97" s="11"/>
    </row>
    <row r="98" spans="1:10" ht="21" customHeight="1" x14ac:dyDescent="0.25">
      <c r="A98" s="11"/>
      <c r="B98" s="12"/>
      <c r="C98" s="12"/>
      <c r="D98" s="12"/>
      <c r="E98" s="10"/>
      <c r="F98" s="11"/>
      <c r="G98" s="10"/>
      <c r="H98" s="11"/>
      <c r="I98" s="5"/>
      <c r="J98" s="11"/>
    </row>
    <row r="99" spans="1:10" ht="21" customHeight="1" x14ac:dyDescent="0.25">
      <c r="A99" s="11"/>
      <c r="B99" s="12"/>
      <c r="C99" s="12"/>
      <c r="D99" s="12"/>
      <c r="E99" s="10"/>
      <c r="F99" s="11"/>
      <c r="G99" s="10"/>
      <c r="H99" s="11"/>
      <c r="I99" s="5"/>
      <c r="J99" s="11"/>
    </row>
    <row r="100" spans="1:10" ht="21" customHeight="1" x14ac:dyDescent="0.25">
      <c r="A100" s="11"/>
      <c r="B100" s="12"/>
      <c r="C100" s="12"/>
      <c r="D100" s="12"/>
      <c r="E100" s="10"/>
      <c r="F100" s="11"/>
      <c r="G100" s="10"/>
      <c r="H100" s="11"/>
      <c r="I100" s="5"/>
      <c r="J100" s="11"/>
    </row>
    <row r="101" spans="1:10" ht="21" customHeight="1" x14ac:dyDescent="0.25">
      <c r="A101" s="11"/>
      <c r="B101" s="12"/>
      <c r="C101" s="12"/>
      <c r="D101" s="12"/>
      <c r="E101" s="10"/>
      <c r="F101" s="11"/>
      <c r="G101" s="10"/>
      <c r="H101" s="11"/>
      <c r="I101" s="5"/>
      <c r="J101" s="11"/>
    </row>
    <row r="102" spans="1:10" ht="21" customHeight="1" x14ac:dyDescent="0.25">
      <c r="A102" s="11"/>
      <c r="B102" s="12"/>
      <c r="C102" s="12"/>
      <c r="D102" s="12"/>
      <c r="E102" s="10"/>
      <c r="F102" s="11"/>
      <c r="G102" s="10"/>
      <c r="H102" s="11"/>
      <c r="I102" s="5"/>
      <c r="J102" s="11"/>
    </row>
    <row r="103" spans="1:10" ht="21" customHeight="1" x14ac:dyDescent="0.25">
      <c r="A103" s="11"/>
      <c r="B103" s="12"/>
      <c r="C103" s="12"/>
      <c r="D103" s="12"/>
      <c r="E103" s="10"/>
      <c r="F103" s="11"/>
      <c r="G103" s="10"/>
      <c r="H103" s="11"/>
      <c r="I103" s="5"/>
      <c r="J103" s="11"/>
    </row>
    <row r="104" spans="1:10" ht="21" customHeight="1" x14ac:dyDescent="0.25">
      <c r="A104" s="11"/>
      <c r="B104" s="12"/>
      <c r="C104" s="12"/>
      <c r="D104" s="12"/>
      <c r="E104" s="10"/>
      <c r="F104" s="11"/>
      <c r="G104" s="10"/>
      <c r="H104" s="11"/>
      <c r="I104" s="5"/>
      <c r="J104" s="11"/>
    </row>
    <row r="105" spans="1:10" ht="21" customHeight="1" x14ac:dyDescent="0.25">
      <c r="A105" s="11"/>
      <c r="B105" s="12"/>
      <c r="C105" s="12"/>
      <c r="D105" s="12"/>
      <c r="E105" s="10"/>
      <c r="F105" s="11"/>
      <c r="G105" s="10"/>
      <c r="H105" s="11"/>
      <c r="I105" s="5"/>
      <c r="J105" s="11"/>
    </row>
    <row r="106" spans="1:10" ht="21" customHeight="1" x14ac:dyDescent="0.25">
      <c r="A106" s="11"/>
      <c r="B106" s="12"/>
      <c r="C106" s="12"/>
      <c r="D106" s="12"/>
      <c r="E106" s="10"/>
      <c r="F106" s="11"/>
      <c r="G106" s="10"/>
      <c r="H106" s="11"/>
      <c r="I106" s="5"/>
      <c r="J106" s="11"/>
    </row>
    <row r="107" spans="1:10" ht="21" customHeight="1" x14ac:dyDescent="0.25">
      <c r="A107" s="11"/>
      <c r="B107" s="12"/>
      <c r="C107" s="12"/>
      <c r="D107" s="12"/>
      <c r="E107" s="10"/>
      <c r="F107" s="11"/>
      <c r="G107" s="10"/>
      <c r="H107" s="11"/>
      <c r="I107" s="5"/>
      <c r="J107" s="11"/>
    </row>
    <row r="108" spans="1:10" ht="21" customHeight="1" x14ac:dyDescent="0.25">
      <c r="A108" s="11"/>
      <c r="B108" s="12"/>
      <c r="C108" s="12"/>
      <c r="D108" s="12"/>
      <c r="E108" s="10"/>
      <c r="F108" s="11"/>
      <c r="G108" s="10"/>
      <c r="H108" s="11"/>
      <c r="I108" s="5"/>
      <c r="J108" s="11"/>
    </row>
    <row r="109" spans="1:10" ht="21" customHeight="1" x14ac:dyDescent="0.25">
      <c r="A109" s="11"/>
      <c r="B109" s="12"/>
      <c r="C109" s="12"/>
      <c r="D109" s="12"/>
      <c r="E109" s="10"/>
      <c r="F109" s="11"/>
      <c r="G109" s="10"/>
      <c r="H109" s="11"/>
      <c r="I109" s="5"/>
      <c r="J109" s="11"/>
    </row>
    <row r="110" spans="1:10" ht="21" customHeight="1" x14ac:dyDescent="0.25">
      <c r="A110" s="11"/>
      <c r="B110" s="12"/>
      <c r="C110" s="12"/>
      <c r="D110" s="12"/>
      <c r="E110" s="10"/>
      <c r="F110" s="11"/>
      <c r="G110" s="10"/>
      <c r="H110" s="11"/>
      <c r="I110" s="5"/>
      <c r="J110" s="11"/>
    </row>
    <row r="111" spans="1:10" ht="21" customHeight="1" x14ac:dyDescent="0.25">
      <c r="A111" s="11"/>
      <c r="B111" s="12"/>
      <c r="C111" s="12"/>
      <c r="D111" s="12"/>
      <c r="E111" s="10"/>
      <c r="F111" s="11"/>
      <c r="G111" s="10"/>
      <c r="H111" s="11"/>
      <c r="I111" s="5"/>
      <c r="J111" s="11"/>
    </row>
    <row r="112" spans="1:10" ht="21" customHeight="1" x14ac:dyDescent="0.25">
      <c r="A112" s="11"/>
      <c r="B112" s="12"/>
      <c r="C112" s="12"/>
      <c r="D112" s="12"/>
      <c r="E112" s="10"/>
      <c r="F112" s="11"/>
      <c r="G112" s="10"/>
      <c r="H112" s="11"/>
      <c r="I112" s="5"/>
      <c r="J112" s="11"/>
    </row>
    <row r="113" spans="1:10" ht="21" customHeight="1" x14ac:dyDescent="0.25">
      <c r="A113" s="11"/>
      <c r="B113" s="12"/>
      <c r="C113" s="12"/>
      <c r="D113" s="12"/>
      <c r="E113" s="10"/>
      <c r="F113" s="11"/>
      <c r="G113" s="10"/>
      <c r="H113" s="11"/>
      <c r="I113" s="5"/>
      <c r="J113" s="11"/>
    </row>
    <row r="114" spans="1:10" ht="21" customHeight="1" x14ac:dyDescent="0.25">
      <c r="A114" s="11"/>
      <c r="B114" s="12"/>
      <c r="C114" s="12"/>
      <c r="D114" s="12"/>
      <c r="E114" s="10"/>
      <c r="F114" s="11"/>
      <c r="G114" s="10"/>
      <c r="H114" s="11"/>
      <c r="I114" s="5"/>
      <c r="J114" s="11"/>
    </row>
    <row r="115" spans="1:10" ht="21" customHeight="1" x14ac:dyDescent="0.25">
      <c r="B115" s="12"/>
      <c r="C115" s="12"/>
      <c r="D115" s="12"/>
      <c r="E115" s="10"/>
      <c r="F115" s="11"/>
      <c r="G115" s="10"/>
      <c r="H115" s="11"/>
      <c r="I115" s="5"/>
      <c r="J115" s="11"/>
    </row>
    <row r="116" spans="1:10" ht="21" customHeight="1" x14ac:dyDescent="0.25">
      <c r="B116" s="12"/>
      <c r="C116" s="12"/>
      <c r="D116" s="12"/>
      <c r="E116" s="10"/>
      <c r="F116" s="11"/>
      <c r="G116" s="10"/>
      <c r="H116" s="11"/>
      <c r="I116" s="5"/>
      <c r="J116" s="11"/>
    </row>
    <row r="117" spans="1:10" ht="21" customHeight="1" x14ac:dyDescent="0.25">
      <c r="B117" s="12"/>
      <c r="C117" s="12"/>
      <c r="D117" s="12"/>
      <c r="E117" s="10"/>
      <c r="F117" s="11"/>
      <c r="G117" s="10"/>
      <c r="H117" s="11"/>
      <c r="I117" s="5"/>
      <c r="J117" s="11"/>
    </row>
    <row r="118" spans="1:10" ht="21" customHeight="1" x14ac:dyDescent="0.25">
      <c r="B118" s="12"/>
      <c r="C118" s="12"/>
      <c r="D118" s="12"/>
      <c r="E118" s="10"/>
      <c r="F118" s="11"/>
      <c r="G118" s="10"/>
      <c r="H118" s="11"/>
      <c r="I118" s="5"/>
      <c r="J118" s="11"/>
    </row>
  </sheetData>
  <mergeCells count="5">
    <mergeCell ref="I1:J1"/>
    <mergeCell ref="B1:H1"/>
    <mergeCell ref="B43:B44"/>
    <mergeCell ref="A45:I45"/>
    <mergeCell ref="B4:B41"/>
  </mergeCells>
  <printOptions horizontalCentered="1"/>
  <pageMargins left="0.25" right="0.25" top="0.25" bottom="0.25" header="0" footer="0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D448-F6CE-4F67-A1C8-E94BB8D7405A}">
  <sheetPr>
    <pageSetUpPr fitToPage="1"/>
  </sheetPr>
  <dimension ref="A1:O227"/>
  <sheetViews>
    <sheetView topLeftCell="A10" zoomScale="85" zoomScaleNormal="85" workbookViewId="0">
      <selection activeCell="E12" sqref="E12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22.5703125" style="1" customWidth="1"/>
    <col min="4" max="4" width="10.7109375" style="1" customWidth="1"/>
    <col min="5" max="5" width="61.7109375" style="1" bestFit="1" customWidth="1"/>
    <col min="6" max="6" width="9.5703125" style="4" bestFit="1" customWidth="1"/>
    <col min="7" max="8" width="11.7109375" style="1" customWidth="1"/>
    <col min="9" max="9" width="12.7109375" style="1" customWidth="1"/>
    <col min="10" max="10" width="12" style="1" customWidth="1"/>
    <col min="11" max="12" width="12.7109375" style="69" customWidth="1"/>
    <col min="13" max="13" width="14.85546875" style="1" customWidth="1"/>
    <col min="14" max="14" width="9.140625" style="69" customWidth="1"/>
    <col min="15" max="16384" width="14.42578125" style="1"/>
  </cols>
  <sheetData>
    <row r="1" spans="1:15" ht="21" customHeight="1" x14ac:dyDescent="0.25">
      <c r="A1" s="1" t="s">
        <v>0</v>
      </c>
      <c r="B1" s="176" t="s">
        <v>9</v>
      </c>
      <c r="C1" s="175"/>
      <c r="D1" s="175"/>
      <c r="E1" s="175"/>
      <c r="F1" s="175"/>
      <c r="G1" s="175"/>
      <c r="H1" s="175"/>
      <c r="I1" s="174">
        <f>Summary!D2</f>
        <v>46130</v>
      </c>
      <c r="J1" s="175"/>
    </row>
    <row r="2" spans="1:15" ht="21" customHeight="1" x14ac:dyDescent="0.25">
      <c r="B2" s="2"/>
      <c r="C2" s="2"/>
      <c r="D2" s="2"/>
      <c r="E2" s="3"/>
      <c r="F2" s="16"/>
      <c r="G2" s="16"/>
      <c r="H2" s="13"/>
      <c r="I2" s="5"/>
      <c r="J2" s="4"/>
    </row>
    <row r="3" spans="1:15" ht="33.6" customHeight="1" x14ac:dyDescent="0.25">
      <c r="A3" s="47" t="s">
        <v>30</v>
      </c>
      <c r="B3" s="6" t="s">
        <v>17</v>
      </c>
      <c r="C3" s="6" t="s">
        <v>18</v>
      </c>
      <c r="D3" s="6" t="s">
        <v>19</v>
      </c>
      <c r="E3" s="7" t="s">
        <v>20</v>
      </c>
      <c r="F3" s="8" t="s">
        <v>56</v>
      </c>
      <c r="G3" s="8" t="s">
        <v>21</v>
      </c>
      <c r="H3" s="6" t="s">
        <v>22</v>
      </c>
      <c r="I3" s="90" t="s">
        <v>23</v>
      </c>
      <c r="J3" s="41" t="s">
        <v>24</v>
      </c>
      <c r="K3" s="144"/>
      <c r="L3" s="4"/>
      <c r="M3" s="161"/>
      <c r="N3" s="4"/>
    </row>
    <row r="4" spans="1:15" ht="22.9" customHeight="1" x14ac:dyDescent="0.25">
      <c r="A4" s="35">
        <v>1</v>
      </c>
      <c r="B4" s="184" t="s">
        <v>345</v>
      </c>
      <c r="C4" s="39">
        <v>9415007058090</v>
      </c>
      <c r="D4" s="37">
        <v>772533</v>
      </c>
      <c r="E4" s="42" t="s">
        <v>190</v>
      </c>
      <c r="F4" s="38">
        <v>12</v>
      </c>
      <c r="G4" s="27">
        <v>14.95</v>
      </c>
      <c r="H4" s="27">
        <v>14.95</v>
      </c>
      <c r="I4" s="91">
        <v>108</v>
      </c>
      <c r="J4" s="93">
        <f>I4*H4</f>
        <v>1614.6</v>
      </c>
      <c r="K4" s="154"/>
      <c r="M4" s="105"/>
      <c r="O4" s="78"/>
    </row>
    <row r="5" spans="1:15" ht="22.9" customHeight="1" x14ac:dyDescent="0.25">
      <c r="A5" s="35">
        <v>2</v>
      </c>
      <c r="B5" s="182"/>
      <c r="C5" s="25">
        <v>9415007033523</v>
      </c>
      <c r="D5" s="35">
        <v>771470</v>
      </c>
      <c r="E5" s="62" t="s">
        <v>136</v>
      </c>
      <c r="F5" s="30">
        <v>12</v>
      </c>
      <c r="G5" s="27">
        <v>11.6</v>
      </c>
      <c r="H5" s="27">
        <v>11.6</v>
      </c>
      <c r="I5" s="91">
        <v>36</v>
      </c>
      <c r="J5" s="93">
        <f>I5*H5</f>
        <v>417.59999999999997</v>
      </c>
      <c r="K5" s="154"/>
      <c r="M5" s="105"/>
      <c r="O5" s="78"/>
    </row>
    <row r="6" spans="1:15" ht="22.9" customHeight="1" x14ac:dyDescent="0.25">
      <c r="A6" s="35">
        <v>3</v>
      </c>
      <c r="B6" s="187" t="s">
        <v>396</v>
      </c>
      <c r="C6" s="25">
        <v>8888626174372</v>
      </c>
      <c r="D6" s="35">
        <v>433088</v>
      </c>
      <c r="E6" s="26" t="s">
        <v>346</v>
      </c>
      <c r="F6" s="30">
        <v>24</v>
      </c>
      <c r="G6" s="27">
        <v>0.75</v>
      </c>
      <c r="H6" s="27">
        <v>0.75</v>
      </c>
      <c r="I6" s="91">
        <v>48</v>
      </c>
      <c r="J6" s="14">
        <f t="shared" ref="J6:J13" si="0">I6*H6</f>
        <v>36</v>
      </c>
      <c r="K6" s="154"/>
      <c r="M6" s="105"/>
      <c r="O6" s="78"/>
    </row>
    <row r="7" spans="1:15" ht="22.9" customHeight="1" x14ac:dyDescent="0.25">
      <c r="A7" s="35">
        <v>4</v>
      </c>
      <c r="B7" s="188"/>
      <c r="C7" s="25">
        <v>8888626174365</v>
      </c>
      <c r="D7" s="35">
        <v>433086</v>
      </c>
      <c r="E7" s="62" t="s">
        <v>347</v>
      </c>
      <c r="F7" s="30">
        <v>24</v>
      </c>
      <c r="G7" s="27">
        <v>0.75</v>
      </c>
      <c r="H7" s="27">
        <v>0.75</v>
      </c>
      <c r="I7" s="91">
        <v>48</v>
      </c>
      <c r="J7" s="93">
        <f t="shared" si="0"/>
        <v>36</v>
      </c>
      <c r="K7" s="154"/>
      <c r="M7" s="105"/>
      <c r="O7" s="78"/>
    </row>
    <row r="8" spans="1:15" ht="22.9" customHeight="1" x14ac:dyDescent="0.25">
      <c r="A8" s="35">
        <v>5</v>
      </c>
      <c r="B8" s="188"/>
      <c r="C8" s="25">
        <v>8888626167954</v>
      </c>
      <c r="D8" s="35">
        <v>432764</v>
      </c>
      <c r="E8" s="62" t="s">
        <v>279</v>
      </c>
      <c r="F8" s="30">
        <v>6</v>
      </c>
      <c r="G8" s="27">
        <v>1.9</v>
      </c>
      <c r="H8" s="27">
        <v>1.9</v>
      </c>
      <c r="I8" s="91">
        <v>282</v>
      </c>
      <c r="J8" s="14">
        <f t="shared" si="0"/>
        <v>535.79999999999995</v>
      </c>
      <c r="K8" s="154"/>
      <c r="M8" s="105"/>
      <c r="O8" s="78"/>
    </row>
    <row r="9" spans="1:15" ht="36" customHeight="1" x14ac:dyDescent="0.25">
      <c r="A9" s="35">
        <v>6</v>
      </c>
      <c r="B9" s="188"/>
      <c r="C9" s="39">
        <v>8888626167947</v>
      </c>
      <c r="D9" s="37">
        <v>432763</v>
      </c>
      <c r="E9" s="42" t="s">
        <v>268</v>
      </c>
      <c r="F9" s="38">
        <v>6</v>
      </c>
      <c r="G9" s="27">
        <v>1.9</v>
      </c>
      <c r="H9" s="27">
        <v>1.9</v>
      </c>
      <c r="I9" s="92">
        <v>204</v>
      </c>
      <c r="J9" s="93">
        <f t="shared" si="0"/>
        <v>387.59999999999997</v>
      </c>
      <c r="K9" s="154"/>
      <c r="M9" s="105"/>
      <c r="O9" s="78"/>
    </row>
    <row r="10" spans="1:15" ht="29.45" customHeight="1" x14ac:dyDescent="0.25">
      <c r="A10" s="35">
        <v>7</v>
      </c>
      <c r="B10" s="188"/>
      <c r="C10" s="25" t="s">
        <v>152</v>
      </c>
      <c r="D10" s="35">
        <v>770022</v>
      </c>
      <c r="E10" s="26" t="s">
        <v>142</v>
      </c>
      <c r="F10" s="30">
        <v>12</v>
      </c>
      <c r="G10" s="27">
        <v>2</v>
      </c>
      <c r="H10" s="27">
        <v>2</v>
      </c>
      <c r="I10" s="91">
        <v>156</v>
      </c>
      <c r="J10" s="14">
        <f t="shared" si="0"/>
        <v>312</v>
      </c>
      <c r="K10" s="154"/>
      <c r="M10" s="105"/>
      <c r="O10" s="78"/>
    </row>
    <row r="11" spans="1:15" ht="22.9" customHeight="1" x14ac:dyDescent="0.25">
      <c r="A11" s="35">
        <v>8</v>
      </c>
      <c r="B11" s="188"/>
      <c r="C11" s="25">
        <v>9557305000576</v>
      </c>
      <c r="D11" s="35">
        <v>425092</v>
      </c>
      <c r="E11" s="26" t="s">
        <v>169</v>
      </c>
      <c r="F11" s="30">
        <v>12</v>
      </c>
      <c r="G11" s="27">
        <v>1.2</v>
      </c>
      <c r="H11" s="27">
        <v>1.2</v>
      </c>
      <c r="I11" s="91">
        <v>132</v>
      </c>
      <c r="J11" s="93">
        <f t="shared" si="0"/>
        <v>158.4</v>
      </c>
      <c r="K11" s="154"/>
      <c r="M11" s="105"/>
      <c r="O11" s="78"/>
    </row>
    <row r="12" spans="1:15" ht="22.9" customHeight="1" x14ac:dyDescent="0.25">
      <c r="A12" s="35">
        <v>9</v>
      </c>
      <c r="B12" s="188"/>
      <c r="C12" s="25">
        <v>8888626144375</v>
      </c>
      <c r="D12" s="35">
        <v>431206</v>
      </c>
      <c r="E12" s="26" t="s">
        <v>150</v>
      </c>
      <c r="F12" s="30">
        <v>24</v>
      </c>
      <c r="G12" s="27">
        <v>6.5</v>
      </c>
      <c r="H12" s="27">
        <v>6.5</v>
      </c>
      <c r="I12" s="91">
        <v>48</v>
      </c>
      <c r="J12" s="14">
        <f t="shared" si="0"/>
        <v>312</v>
      </c>
      <c r="K12" s="154"/>
      <c r="M12" s="105"/>
      <c r="O12" s="78"/>
    </row>
    <row r="13" spans="1:15" ht="22.9" customHeight="1" x14ac:dyDescent="0.25">
      <c r="A13" s="35">
        <v>10</v>
      </c>
      <c r="B13" s="188"/>
      <c r="C13" s="25">
        <v>8888626167756</v>
      </c>
      <c r="D13" s="35">
        <v>432419</v>
      </c>
      <c r="E13" s="104" t="s">
        <v>200</v>
      </c>
      <c r="F13" s="30">
        <v>24</v>
      </c>
      <c r="G13" s="27">
        <v>5.95</v>
      </c>
      <c r="H13" s="27">
        <v>5.95</v>
      </c>
      <c r="I13" s="92">
        <v>48</v>
      </c>
      <c r="J13" s="93">
        <f t="shared" si="0"/>
        <v>285.60000000000002</v>
      </c>
      <c r="K13" s="154"/>
      <c r="M13" s="105"/>
      <c r="O13" s="78"/>
    </row>
    <row r="14" spans="1:15" ht="22.9" customHeight="1" x14ac:dyDescent="0.25">
      <c r="A14" s="35">
        <v>11</v>
      </c>
      <c r="B14" s="188"/>
      <c r="C14" s="25">
        <v>8888626150536</v>
      </c>
      <c r="D14" s="35">
        <v>431526</v>
      </c>
      <c r="E14" s="26" t="s">
        <v>212</v>
      </c>
      <c r="F14" s="30">
        <v>6</v>
      </c>
      <c r="G14" s="146">
        <v>10.95</v>
      </c>
      <c r="H14" s="146">
        <v>10.95</v>
      </c>
      <c r="I14" s="92">
        <v>72</v>
      </c>
      <c r="J14" s="93">
        <f t="shared" ref="J14:J26" si="1">I14*H14</f>
        <v>788.4</v>
      </c>
      <c r="K14" s="154"/>
      <c r="M14" s="105"/>
      <c r="O14" s="78"/>
    </row>
    <row r="15" spans="1:15" ht="22.9" customHeight="1" x14ac:dyDescent="0.25">
      <c r="A15" s="35">
        <v>12</v>
      </c>
      <c r="B15" s="188"/>
      <c r="C15" s="25">
        <v>8888626174419</v>
      </c>
      <c r="D15" s="35">
        <v>433098</v>
      </c>
      <c r="E15" s="26" t="s">
        <v>348</v>
      </c>
      <c r="F15" s="30">
        <v>24</v>
      </c>
      <c r="G15" s="27">
        <v>0.95</v>
      </c>
      <c r="H15" s="27">
        <v>0.95</v>
      </c>
      <c r="I15" s="92">
        <v>24</v>
      </c>
      <c r="J15" s="93">
        <f t="shared" si="1"/>
        <v>22.799999999999997</v>
      </c>
      <c r="K15" s="154"/>
      <c r="M15" s="105"/>
      <c r="O15" s="78"/>
    </row>
    <row r="16" spans="1:15" ht="22.9" customHeight="1" x14ac:dyDescent="0.25">
      <c r="A16" s="35">
        <v>13</v>
      </c>
      <c r="B16" s="188"/>
      <c r="C16" s="25">
        <v>8888626174419</v>
      </c>
      <c r="D16" s="35">
        <v>433100</v>
      </c>
      <c r="E16" s="26" t="s">
        <v>349</v>
      </c>
      <c r="F16" s="30">
        <v>24</v>
      </c>
      <c r="G16" s="27">
        <v>0.95</v>
      </c>
      <c r="H16" s="27">
        <v>0.95</v>
      </c>
      <c r="I16" s="92">
        <v>72</v>
      </c>
      <c r="J16" s="93">
        <f t="shared" si="1"/>
        <v>68.399999999999991</v>
      </c>
      <c r="K16" s="154"/>
      <c r="M16" s="105"/>
      <c r="O16" s="78"/>
    </row>
    <row r="17" spans="1:15" ht="22.9" customHeight="1" x14ac:dyDescent="0.25">
      <c r="A17" s="35">
        <v>14</v>
      </c>
      <c r="B17" s="188"/>
      <c r="C17" s="25">
        <v>8888626174402</v>
      </c>
      <c r="D17" s="35">
        <v>433102</v>
      </c>
      <c r="E17" s="26" t="s">
        <v>293</v>
      </c>
      <c r="F17" s="30">
        <v>24</v>
      </c>
      <c r="G17" s="27">
        <v>0.95</v>
      </c>
      <c r="H17" s="27">
        <v>0.95</v>
      </c>
      <c r="I17" s="92">
        <v>72</v>
      </c>
      <c r="J17" s="93">
        <f t="shared" si="1"/>
        <v>68.399999999999991</v>
      </c>
      <c r="K17" s="154"/>
      <c r="M17" s="105"/>
      <c r="O17" s="78"/>
    </row>
    <row r="18" spans="1:15" ht="22.9" customHeight="1" x14ac:dyDescent="0.25">
      <c r="A18" s="35">
        <v>15</v>
      </c>
      <c r="B18" s="188"/>
      <c r="C18" s="25">
        <v>8888626174389</v>
      </c>
      <c r="D18" s="35">
        <v>433104</v>
      </c>
      <c r="E18" s="26" t="s">
        <v>350</v>
      </c>
      <c r="F18" s="30">
        <v>24</v>
      </c>
      <c r="G18" s="27">
        <v>0.95</v>
      </c>
      <c r="H18" s="27">
        <v>0.95</v>
      </c>
      <c r="I18" s="92">
        <v>48</v>
      </c>
      <c r="J18" s="93">
        <f t="shared" si="1"/>
        <v>45.599999999999994</v>
      </c>
      <c r="K18" s="154"/>
      <c r="M18" s="105"/>
      <c r="O18" s="78"/>
    </row>
    <row r="19" spans="1:15" ht="31.15" customHeight="1" x14ac:dyDescent="0.25">
      <c r="A19" s="35">
        <v>16</v>
      </c>
      <c r="B19" s="188"/>
      <c r="C19" s="25">
        <v>8888626160436</v>
      </c>
      <c r="D19" s="35">
        <v>432032</v>
      </c>
      <c r="E19" s="26" t="s">
        <v>184</v>
      </c>
      <c r="F19" s="30">
        <v>12</v>
      </c>
      <c r="G19" s="27">
        <v>2.5</v>
      </c>
      <c r="H19" s="27">
        <v>2.5</v>
      </c>
      <c r="I19" s="92">
        <v>156</v>
      </c>
      <c r="J19" s="93">
        <f t="shared" si="1"/>
        <v>390</v>
      </c>
      <c r="K19" s="154"/>
      <c r="M19" s="105"/>
      <c r="O19" s="78"/>
    </row>
    <row r="20" spans="1:15" ht="30" customHeight="1" x14ac:dyDescent="0.25">
      <c r="A20" s="35">
        <v>17</v>
      </c>
      <c r="B20" s="188"/>
      <c r="C20" s="25">
        <v>8888626155104</v>
      </c>
      <c r="D20" s="35">
        <v>485509</v>
      </c>
      <c r="E20" s="26" t="s">
        <v>194</v>
      </c>
      <c r="F20" s="30">
        <v>12</v>
      </c>
      <c r="G20" s="27">
        <v>5.2</v>
      </c>
      <c r="H20" s="27">
        <v>5.2</v>
      </c>
      <c r="I20" s="92">
        <v>24</v>
      </c>
      <c r="J20" s="93">
        <f t="shared" si="1"/>
        <v>124.80000000000001</v>
      </c>
      <c r="K20" s="154"/>
      <c r="M20" s="105"/>
      <c r="O20" s="78"/>
    </row>
    <row r="21" spans="1:15" ht="22.9" customHeight="1" x14ac:dyDescent="0.25">
      <c r="A21" s="35">
        <v>18</v>
      </c>
      <c r="B21" s="188"/>
      <c r="C21" s="25">
        <v>8888626141138</v>
      </c>
      <c r="D21" s="35">
        <v>430793</v>
      </c>
      <c r="E21" s="26" t="s">
        <v>102</v>
      </c>
      <c r="F21" s="30">
        <v>20</v>
      </c>
      <c r="G21" s="27">
        <v>3.65</v>
      </c>
      <c r="H21" s="27">
        <v>3.65</v>
      </c>
      <c r="I21" s="91">
        <v>40</v>
      </c>
      <c r="J21" s="93">
        <f t="shared" si="1"/>
        <v>146</v>
      </c>
      <c r="K21" s="154"/>
      <c r="M21" s="105"/>
      <c r="O21" s="78"/>
    </row>
    <row r="22" spans="1:15" ht="21" customHeight="1" x14ac:dyDescent="0.25">
      <c r="A22" s="35">
        <v>19</v>
      </c>
      <c r="B22" s="188"/>
      <c r="C22" s="25">
        <v>8888626143484</v>
      </c>
      <c r="D22" s="35">
        <v>431066</v>
      </c>
      <c r="E22" s="26" t="s">
        <v>351</v>
      </c>
      <c r="F22" s="30">
        <v>12</v>
      </c>
      <c r="G22" s="27">
        <v>3</v>
      </c>
      <c r="H22" s="27">
        <v>3</v>
      </c>
      <c r="I22" s="91">
        <v>36</v>
      </c>
      <c r="J22" s="93">
        <f t="shared" si="1"/>
        <v>108</v>
      </c>
      <c r="K22" s="154"/>
      <c r="M22" s="105"/>
      <c r="O22" s="78"/>
    </row>
    <row r="23" spans="1:15" ht="21" customHeight="1" x14ac:dyDescent="0.25">
      <c r="A23" s="35">
        <v>20</v>
      </c>
      <c r="B23" s="189"/>
      <c r="C23" s="25">
        <v>8888626143477</v>
      </c>
      <c r="D23" s="35">
        <v>431065</v>
      </c>
      <c r="E23" s="26" t="s">
        <v>155</v>
      </c>
      <c r="F23" s="30">
        <v>12</v>
      </c>
      <c r="G23" s="27">
        <v>3</v>
      </c>
      <c r="H23" s="27">
        <v>3</v>
      </c>
      <c r="I23" s="92">
        <v>72</v>
      </c>
      <c r="J23" s="93">
        <f t="shared" si="1"/>
        <v>216</v>
      </c>
      <c r="K23" s="154"/>
      <c r="M23" s="105"/>
      <c r="O23" s="78"/>
    </row>
    <row r="24" spans="1:15" ht="30" customHeight="1" x14ac:dyDescent="0.25">
      <c r="A24" s="35">
        <v>21</v>
      </c>
      <c r="B24" s="185" t="s">
        <v>145</v>
      </c>
      <c r="C24" s="114">
        <v>8888626174976</v>
      </c>
      <c r="D24" s="127">
        <v>772590</v>
      </c>
      <c r="E24" s="115" t="s">
        <v>352</v>
      </c>
      <c r="F24" s="128">
        <v>12</v>
      </c>
      <c r="G24" s="81">
        <v>2.5</v>
      </c>
      <c r="H24" s="81">
        <v>2.5</v>
      </c>
      <c r="I24" s="156">
        <v>60</v>
      </c>
      <c r="J24" s="93">
        <f t="shared" si="1"/>
        <v>150</v>
      </c>
      <c r="K24" s="154"/>
      <c r="M24" s="105"/>
      <c r="O24" s="78"/>
    </row>
    <row r="25" spans="1:15" ht="21" customHeight="1" x14ac:dyDescent="0.25">
      <c r="A25" s="35">
        <v>22</v>
      </c>
      <c r="B25" s="186"/>
      <c r="C25" s="114" t="s">
        <v>164</v>
      </c>
      <c r="D25" s="127">
        <v>770219</v>
      </c>
      <c r="E25" s="115" t="s">
        <v>165</v>
      </c>
      <c r="F25" s="128">
        <v>48</v>
      </c>
      <c r="G25" s="81">
        <v>1.35</v>
      </c>
      <c r="H25" s="81">
        <v>1.35</v>
      </c>
      <c r="I25" s="95">
        <v>288</v>
      </c>
      <c r="J25" s="93">
        <f t="shared" si="1"/>
        <v>388.8</v>
      </c>
      <c r="K25" s="154"/>
      <c r="M25" s="105"/>
      <c r="O25" s="78"/>
    </row>
    <row r="26" spans="1:15" ht="21" customHeight="1" x14ac:dyDescent="0.25">
      <c r="A26" s="35">
        <v>23</v>
      </c>
      <c r="B26" s="35" t="s">
        <v>198</v>
      </c>
      <c r="C26" s="25">
        <v>8888626159874</v>
      </c>
      <c r="D26" s="35">
        <v>431917</v>
      </c>
      <c r="E26" s="26" t="s">
        <v>201</v>
      </c>
      <c r="F26" s="30">
        <v>12</v>
      </c>
      <c r="G26" s="27">
        <v>4.45</v>
      </c>
      <c r="H26" s="27">
        <v>4.45</v>
      </c>
      <c r="I26" s="91">
        <v>12</v>
      </c>
      <c r="J26" s="93">
        <f t="shared" si="1"/>
        <v>53.400000000000006</v>
      </c>
      <c r="K26" s="154"/>
      <c r="M26" s="105"/>
      <c r="O26" s="78"/>
    </row>
    <row r="27" spans="1:15" ht="21" customHeight="1" x14ac:dyDescent="0.25">
      <c r="A27" s="171" t="s">
        <v>16</v>
      </c>
      <c r="B27" s="183"/>
      <c r="C27" s="183"/>
      <c r="D27" s="183"/>
      <c r="E27" s="183"/>
      <c r="F27" s="183"/>
      <c r="G27" s="183"/>
      <c r="H27" s="183"/>
      <c r="I27" s="172"/>
      <c r="J27" s="76">
        <f>SUM(J4:J26)</f>
        <v>6666.2</v>
      </c>
      <c r="K27" s="154"/>
      <c r="M27" s="105"/>
      <c r="O27" s="78"/>
    </row>
    <row r="28" spans="1:15" ht="21" customHeight="1" x14ac:dyDescent="0.25">
      <c r="A28" s="11"/>
      <c r="B28" s="12"/>
      <c r="C28" s="12"/>
      <c r="D28" s="12"/>
      <c r="E28" s="10"/>
      <c r="F28" s="11"/>
      <c r="G28" s="13"/>
      <c r="H28" s="13"/>
      <c r="I28" s="5"/>
      <c r="J28" s="11"/>
      <c r="K28" s="154"/>
      <c r="M28" s="105"/>
      <c r="O28" s="78"/>
    </row>
    <row r="29" spans="1:15" ht="21" customHeight="1" x14ac:dyDescent="0.25">
      <c r="A29" s="11"/>
      <c r="B29" s="12"/>
      <c r="C29" s="12"/>
      <c r="D29" s="12"/>
      <c r="E29" s="10"/>
      <c r="F29" s="11"/>
      <c r="G29" s="11"/>
      <c r="H29" s="13"/>
      <c r="I29" s="5"/>
      <c r="J29" s="11"/>
      <c r="K29" s="154"/>
      <c r="M29" s="105"/>
      <c r="O29" s="78"/>
    </row>
    <row r="30" spans="1:15" ht="21" customHeight="1" x14ac:dyDescent="0.25">
      <c r="A30" s="11"/>
      <c r="B30" s="12"/>
      <c r="C30" s="12"/>
      <c r="D30" s="12"/>
      <c r="E30" s="10"/>
      <c r="F30" s="11"/>
      <c r="G30" s="11"/>
      <c r="H30" s="13"/>
      <c r="I30" s="5"/>
      <c r="J30" s="11"/>
    </row>
    <row r="31" spans="1:15" ht="21" customHeight="1" x14ac:dyDescent="0.25">
      <c r="A31" s="11"/>
      <c r="B31" s="12"/>
      <c r="C31" s="12"/>
      <c r="D31" s="12"/>
      <c r="E31" s="10"/>
      <c r="F31" s="11"/>
      <c r="G31" s="11"/>
      <c r="H31" s="13"/>
      <c r="I31" s="5"/>
      <c r="J31" s="11"/>
    </row>
    <row r="32" spans="1:15" ht="21" customHeight="1" x14ac:dyDescent="0.25">
      <c r="A32" s="11"/>
      <c r="B32" s="12"/>
      <c r="C32" s="12"/>
      <c r="D32" s="12"/>
      <c r="E32" s="10"/>
      <c r="F32" s="11"/>
      <c r="G32" s="11"/>
      <c r="H32" s="13"/>
      <c r="I32" s="5"/>
      <c r="J32" s="11"/>
    </row>
    <row r="33" spans="1:10" ht="21" customHeight="1" x14ac:dyDescent="0.25">
      <c r="A33" s="11"/>
      <c r="B33" s="12"/>
      <c r="C33" s="12"/>
      <c r="D33" s="12"/>
      <c r="E33" s="10"/>
      <c r="F33" s="11"/>
      <c r="G33" s="11"/>
      <c r="H33" s="13"/>
      <c r="I33" s="5"/>
      <c r="J33" s="11"/>
    </row>
    <row r="34" spans="1:10" ht="21" customHeight="1" x14ac:dyDescent="0.25">
      <c r="A34" s="11"/>
      <c r="B34" s="12"/>
      <c r="C34" s="12"/>
      <c r="D34" s="12"/>
      <c r="E34" s="10"/>
      <c r="F34" s="11"/>
      <c r="G34" s="11"/>
      <c r="H34" s="13"/>
      <c r="I34" s="5"/>
      <c r="J34" s="11"/>
    </row>
    <row r="35" spans="1:10" ht="21" customHeight="1" x14ac:dyDescent="0.25">
      <c r="A35" s="11"/>
      <c r="B35" s="12"/>
      <c r="C35" s="12"/>
      <c r="D35" s="12"/>
      <c r="E35" s="10"/>
      <c r="F35" s="11"/>
      <c r="G35" s="11"/>
      <c r="H35" s="13"/>
      <c r="I35" s="5"/>
      <c r="J35" s="11"/>
    </row>
    <row r="36" spans="1:10" ht="21" customHeight="1" x14ac:dyDescent="0.25">
      <c r="A36" s="11"/>
      <c r="B36" s="12"/>
      <c r="C36" s="12"/>
      <c r="D36" s="12"/>
      <c r="E36" s="10"/>
      <c r="F36" s="11"/>
      <c r="G36" s="11"/>
      <c r="H36" s="13"/>
      <c r="I36" s="5"/>
      <c r="J36" s="11"/>
    </row>
    <row r="37" spans="1:10" ht="21" customHeight="1" x14ac:dyDescent="0.25">
      <c r="A37" s="11"/>
      <c r="B37" s="12"/>
      <c r="C37" s="12"/>
      <c r="D37" s="12"/>
      <c r="E37" s="10"/>
      <c r="F37" s="11"/>
      <c r="G37" s="11"/>
      <c r="H37" s="13"/>
      <c r="I37" s="5"/>
      <c r="J37" s="11"/>
    </row>
    <row r="38" spans="1:10" ht="21" customHeight="1" x14ac:dyDescent="0.25">
      <c r="A38" s="11"/>
      <c r="B38" s="12"/>
      <c r="C38" s="12"/>
      <c r="D38" s="12"/>
      <c r="E38" s="10"/>
      <c r="F38" s="11"/>
      <c r="G38" s="11"/>
      <c r="H38" s="13"/>
      <c r="I38" s="5"/>
      <c r="J38" s="11"/>
    </row>
    <row r="39" spans="1:10" ht="21" customHeight="1" x14ac:dyDescent="0.25">
      <c r="A39" s="11"/>
      <c r="B39" s="12"/>
      <c r="C39" s="12"/>
      <c r="D39" s="12"/>
      <c r="E39" s="10"/>
      <c r="F39" s="11"/>
      <c r="G39" s="11"/>
      <c r="H39" s="13"/>
      <c r="I39" s="5"/>
      <c r="J39" s="11"/>
    </row>
    <row r="40" spans="1:10" ht="21" customHeight="1" x14ac:dyDescent="0.25">
      <c r="A40" s="11"/>
      <c r="B40" s="12"/>
      <c r="C40" s="12"/>
      <c r="D40" s="12"/>
      <c r="E40" s="10"/>
      <c r="F40" s="11"/>
      <c r="G40" s="11"/>
      <c r="H40" s="13"/>
      <c r="I40" s="5"/>
      <c r="J40" s="11"/>
    </row>
    <row r="41" spans="1:10" ht="21" customHeight="1" x14ac:dyDescent="0.25">
      <c r="A41" s="11"/>
      <c r="B41" s="12"/>
      <c r="C41" s="12"/>
      <c r="D41" s="12"/>
      <c r="E41" s="10"/>
      <c r="F41" s="11"/>
      <c r="G41" s="11"/>
      <c r="H41" s="13"/>
      <c r="I41" s="5"/>
      <c r="J41" s="11"/>
    </row>
    <row r="42" spans="1:10" ht="21" customHeight="1" x14ac:dyDescent="0.25">
      <c r="A42" s="11"/>
      <c r="B42" s="12"/>
      <c r="C42" s="12"/>
      <c r="D42" s="12"/>
      <c r="E42" s="10"/>
      <c r="F42" s="11"/>
      <c r="G42" s="11"/>
      <c r="H42" s="13"/>
      <c r="I42" s="5"/>
      <c r="J42" s="11"/>
    </row>
    <row r="43" spans="1:10" ht="21" customHeight="1" x14ac:dyDescent="0.25">
      <c r="A43" s="11"/>
      <c r="B43" s="12"/>
      <c r="C43" s="12"/>
      <c r="D43" s="12"/>
      <c r="E43" s="10"/>
      <c r="F43" s="11"/>
      <c r="G43" s="11"/>
      <c r="H43" s="13"/>
      <c r="I43" s="5"/>
      <c r="J43" s="11"/>
    </row>
    <row r="44" spans="1:10" ht="21" customHeight="1" x14ac:dyDescent="0.25">
      <c r="A44" s="11"/>
      <c r="B44" s="12"/>
      <c r="C44" s="12"/>
      <c r="D44" s="12"/>
      <c r="E44" s="10"/>
      <c r="F44" s="11"/>
      <c r="G44" s="11"/>
      <c r="H44" s="13"/>
      <c r="I44" s="5"/>
      <c r="J44" s="11"/>
    </row>
    <row r="45" spans="1:10" ht="21" customHeight="1" x14ac:dyDescent="0.25">
      <c r="A45" s="11"/>
      <c r="B45" s="12"/>
      <c r="C45" s="12"/>
      <c r="D45" s="12"/>
      <c r="E45" s="10"/>
      <c r="F45" s="11"/>
      <c r="G45" s="11"/>
      <c r="H45" s="13"/>
      <c r="I45" s="5"/>
      <c r="J45" s="11"/>
    </row>
    <row r="46" spans="1:10" ht="21" customHeight="1" x14ac:dyDescent="0.25">
      <c r="A46" s="11"/>
      <c r="B46" s="12"/>
      <c r="C46" s="12"/>
      <c r="D46" s="12"/>
      <c r="E46" s="10"/>
      <c r="F46" s="11"/>
      <c r="G46" s="11"/>
      <c r="H46" s="13"/>
      <c r="I46" s="5"/>
      <c r="J46" s="11"/>
    </row>
    <row r="47" spans="1:10" ht="21" customHeight="1" x14ac:dyDescent="0.25">
      <c r="A47" s="11"/>
      <c r="B47" s="12"/>
      <c r="C47" s="12"/>
      <c r="D47" s="12"/>
      <c r="E47" s="10"/>
      <c r="F47" s="11"/>
      <c r="G47" s="11"/>
      <c r="H47" s="13"/>
      <c r="I47" s="5"/>
      <c r="J47" s="11"/>
    </row>
    <row r="48" spans="1:10" ht="21" customHeight="1" x14ac:dyDescent="0.25">
      <c r="A48" s="11"/>
      <c r="B48" s="12"/>
      <c r="C48" s="12"/>
      <c r="D48" s="12"/>
      <c r="E48" s="10"/>
      <c r="F48" s="11"/>
      <c r="G48" s="11"/>
      <c r="H48" s="13"/>
      <c r="I48" s="5"/>
      <c r="J48" s="11"/>
    </row>
    <row r="49" spans="1:10" ht="21" customHeight="1" x14ac:dyDescent="0.25">
      <c r="A49" s="11"/>
      <c r="B49" s="12"/>
      <c r="C49" s="12"/>
      <c r="D49" s="12"/>
      <c r="E49" s="10"/>
      <c r="F49" s="11"/>
      <c r="G49" s="11"/>
      <c r="H49" s="13"/>
      <c r="I49" s="5"/>
      <c r="J49" s="11"/>
    </row>
    <row r="50" spans="1:10" ht="21" customHeight="1" x14ac:dyDescent="0.25">
      <c r="A50" s="11"/>
      <c r="B50" s="12"/>
      <c r="C50" s="12"/>
      <c r="D50" s="12"/>
      <c r="E50" s="10"/>
      <c r="F50" s="11"/>
      <c r="G50" s="11"/>
      <c r="H50" s="13"/>
      <c r="I50" s="5"/>
      <c r="J50" s="11"/>
    </row>
    <row r="51" spans="1:10" ht="21" customHeight="1" x14ac:dyDescent="0.25">
      <c r="A51" s="11"/>
      <c r="B51" s="12"/>
      <c r="C51" s="12"/>
      <c r="D51" s="12"/>
      <c r="E51" s="10"/>
      <c r="F51" s="11"/>
      <c r="G51" s="11"/>
      <c r="H51" s="13"/>
      <c r="I51" s="5"/>
      <c r="J51" s="11"/>
    </row>
    <row r="52" spans="1:10" ht="21" customHeight="1" x14ac:dyDescent="0.25">
      <c r="A52" s="11"/>
      <c r="B52" s="12"/>
      <c r="C52" s="12"/>
      <c r="D52" s="12"/>
      <c r="E52" s="10"/>
      <c r="F52" s="11"/>
      <c r="G52" s="11"/>
      <c r="H52" s="13"/>
      <c r="I52" s="5"/>
      <c r="J52" s="11"/>
    </row>
    <row r="53" spans="1:10" ht="21" customHeight="1" x14ac:dyDescent="0.25">
      <c r="A53" s="11"/>
      <c r="B53" s="12"/>
      <c r="C53" s="12"/>
      <c r="D53" s="12"/>
      <c r="E53" s="10"/>
      <c r="F53" s="11"/>
      <c r="G53" s="11"/>
      <c r="H53" s="13"/>
      <c r="I53" s="5"/>
      <c r="J53" s="11"/>
    </row>
    <row r="54" spans="1:10" ht="21" customHeight="1" x14ac:dyDescent="0.25">
      <c r="A54" s="11"/>
      <c r="B54" s="12"/>
      <c r="C54" s="12"/>
      <c r="D54" s="12"/>
      <c r="E54" s="10"/>
      <c r="F54" s="11"/>
      <c r="G54" s="11"/>
      <c r="H54" s="13"/>
      <c r="I54" s="5"/>
      <c r="J54" s="11"/>
    </row>
    <row r="55" spans="1:10" ht="21" customHeight="1" x14ac:dyDescent="0.25">
      <c r="A55" s="11"/>
      <c r="B55" s="12"/>
      <c r="C55" s="12"/>
      <c r="D55" s="12"/>
      <c r="E55" s="10"/>
      <c r="F55" s="11"/>
      <c r="G55" s="11"/>
      <c r="H55" s="13"/>
      <c r="I55" s="5"/>
      <c r="J55" s="11"/>
    </row>
    <row r="56" spans="1:10" ht="21" customHeight="1" x14ac:dyDescent="0.25">
      <c r="A56" s="11"/>
      <c r="B56" s="12"/>
      <c r="C56" s="12"/>
      <c r="D56" s="12"/>
      <c r="E56" s="10"/>
      <c r="F56" s="11"/>
      <c r="G56" s="11"/>
      <c r="H56" s="13"/>
      <c r="I56" s="5"/>
      <c r="J56" s="11"/>
    </row>
    <row r="57" spans="1:10" ht="21" customHeight="1" x14ac:dyDescent="0.25">
      <c r="A57" s="11"/>
      <c r="B57" s="12"/>
      <c r="C57" s="12"/>
      <c r="D57" s="12"/>
      <c r="E57" s="10"/>
      <c r="F57" s="11"/>
      <c r="G57" s="11"/>
      <c r="H57" s="13"/>
      <c r="I57" s="5"/>
      <c r="J57" s="11"/>
    </row>
    <row r="58" spans="1:10" ht="21" customHeight="1" x14ac:dyDescent="0.25">
      <c r="A58" s="11"/>
      <c r="B58" s="12"/>
      <c r="C58" s="12"/>
      <c r="D58" s="12"/>
      <c r="E58" s="10"/>
      <c r="F58" s="11"/>
      <c r="G58" s="11"/>
      <c r="H58" s="13"/>
      <c r="I58" s="5"/>
      <c r="J58" s="11"/>
    </row>
    <row r="59" spans="1:10" ht="21" customHeight="1" x14ac:dyDescent="0.25">
      <c r="A59" s="11"/>
      <c r="B59" s="12"/>
      <c r="C59" s="12"/>
      <c r="D59" s="12"/>
      <c r="E59" s="10"/>
      <c r="F59" s="11"/>
      <c r="G59" s="11"/>
      <c r="H59" s="13"/>
      <c r="I59" s="5"/>
      <c r="J59" s="11"/>
    </row>
    <row r="60" spans="1:10" ht="21" customHeight="1" x14ac:dyDescent="0.25">
      <c r="A60" s="11"/>
      <c r="B60" s="12"/>
      <c r="C60" s="12"/>
      <c r="D60" s="12"/>
      <c r="E60" s="10"/>
      <c r="F60" s="11"/>
      <c r="G60" s="11"/>
      <c r="H60" s="13"/>
      <c r="I60" s="5"/>
      <c r="J60" s="11"/>
    </row>
    <row r="61" spans="1:10" ht="21" customHeight="1" x14ac:dyDescent="0.25">
      <c r="A61" s="11"/>
      <c r="B61" s="12"/>
      <c r="C61" s="12"/>
      <c r="D61" s="12"/>
      <c r="E61" s="10"/>
      <c r="F61" s="11"/>
      <c r="G61" s="11"/>
      <c r="H61" s="13"/>
      <c r="I61" s="5"/>
      <c r="J61" s="11"/>
    </row>
    <row r="62" spans="1:10" ht="21" customHeight="1" x14ac:dyDescent="0.25">
      <c r="A62" s="11"/>
      <c r="B62" s="12"/>
      <c r="C62" s="12"/>
      <c r="D62" s="12"/>
      <c r="E62" s="10"/>
      <c r="F62" s="11"/>
      <c r="G62" s="11"/>
      <c r="H62" s="13"/>
      <c r="I62" s="5"/>
      <c r="J62" s="11"/>
    </row>
    <row r="63" spans="1:10" ht="21" customHeight="1" x14ac:dyDescent="0.25">
      <c r="A63" s="11"/>
      <c r="B63" s="12"/>
      <c r="C63" s="12"/>
      <c r="D63" s="12"/>
      <c r="E63" s="10"/>
      <c r="F63" s="11"/>
      <c r="G63" s="11"/>
      <c r="H63" s="13"/>
      <c r="I63" s="5"/>
      <c r="J63" s="11"/>
    </row>
    <row r="64" spans="1:10" ht="21" customHeight="1" x14ac:dyDescent="0.25">
      <c r="A64" s="11"/>
      <c r="B64" s="12"/>
      <c r="C64" s="12"/>
      <c r="D64" s="12"/>
      <c r="E64" s="10"/>
      <c r="F64" s="11"/>
      <c r="G64" s="11"/>
      <c r="H64" s="13"/>
      <c r="I64" s="5"/>
      <c r="J64" s="11"/>
    </row>
    <row r="65" spans="1:10" ht="21" customHeight="1" x14ac:dyDescent="0.25">
      <c r="A65" s="11"/>
      <c r="B65" s="12"/>
      <c r="C65" s="12"/>
      <c r="D65" s="12"/>
      <c r="E65" s="10"/>
      <c r="F65" s="11"/>
      <c r="G65" s="11"/>
      <c r="H65" s="13"/>
      <c r="I65" s="5"/>
      <c r="J65" s="11"/>
    </row>
    <row r="66" spans="1:10" ht="21" customHeight="1" x14ac:dyDescent="0.25">
      <c r="A66" s="11"/>
      <c r="B66" s="12"/>
      <c r="C66" s="12"/>
      <c r="D66" s="12"/>
      <c r="E66" s="10"/>
      <c r="F66" s="11"/>
      <c r="G66" s="11"/>
      <c r="H66" s="13"/>
      <c r="I66" s="5"/>
      <c r="J66" s="11"/>
    </row>
    <row r="67" spans="1:10" ht="21" customHeight="1" x14ac:dyDescent="0.25">
      <c r="A67" s="11"/>
      <c r="B67" s="12"/>
      <c r="C67" s="12"/>
      <c r="D67" s="12"/>
      <c r="E67" s="10"/>
      <c r="F67" s="11"/>
      <c r="G67" s="11"/>
      <c r="H67" s="13"/>
      <c r="I67" s="5"/>
      <c r="J67" s="11"/>
    </row>
    <row r="68" spans="1:10" ht="21" customHeight="1" x14ac:dyDescent="0.25">
      <c r="A68" s="11"/>
      <c r="B68" s="12"/>
      <c r="C68" s="12"/>
      <c r="D68" s="12"/>
      <c r="E68" s="10"/>
      <c r="F68" s="11"/>
      <c r="G68" s="11"/>
      <c r="H68" s="13"/>
      <c r="I68" s="5"/>
      <c r="J68" s="11"/>
    </row>
    <row r="69" spans="1:10" ht="21" customHeight="1" x14ac:dyDescent="0.25">
      <c r="A69" s="11"/>
      <c r="B69" s="12"/>
      <c r="C69" s="12"/>
      <c r="D69" s="12"/>
      <c r="E69" s="10"/>
      <c r="F69" s="11"/>
      <c r="G69" s="11"/>
      <c r="H69" s="13"/>
      <c r="I69" s="5"/>
      <c r="J69" s="11"/>
    </row>
    <row r="70" spans="1:10" ht="21" customHeight="1" x14ac:dyDescent="0.25">
      <c r="A70" s="11"/>
      <c r="B70" s="12"/>
      <c r="C70" s="12"/>
      <c r="D70" s="12"/>
      <c r="E70" s="10"/>
      <c r="F70" s="11"/>
      <c r="G70" s="11"/>
      <c r="H70" s="13"/>
      <c r="I70" s="5"/>
      <c r="J70" s="11"/>
    </row>
    <row r="71" spans="1:10" ht="21" customHeight="1" x14ac:dyDescent="0.25">
      <c r="A71" s="11"/>
      <c r="B71" s="12"/>
      <c r="C71" s="12"/>
      <c r="D71" s="12"/>
      <c r="E71" s="10"/>
      <c r="F71" s="11"/>
      <c r="G71" s="11"/>
      <c r="H71" s="13"/>
      <c r="I71" s="5"/>
      <c r="J71" s="11"/>
    </row>
    <row r="72" spans="1:10" ht="21" customHeight="1" x14ac:dyDescent="0.25">
      <c r="A72" s="11"/>
      <c r="B72" s="12"/>
      <c r="C72" s="12"/>
      <c r="D72" s="12"/>
      <c r="E72" s="10"/>
      <c r="F72" s="11"/>
      <c r="G72" s="11"/>
      <c r="H72" s="13"/>
      <c r="I72" s="5"/>
      <c r="J72" s="11"/>
    </row>
    <row r="73" spans="1:10" ht="21" customHeight="1" x14ac:dyDescent="0.25">
      <c r="A73" s="11"/>
      <c r="B73" s="12"/>
      <c r="C73" s="12"/>
      <c r="D73" s="12"/>
      <c r="E73" s="10"/>
      <c r="F73" s="11"/>
      <c r="G73" s="11"/>
      <c r="H73" s="13"/>
      <c r="I73" s="5"/>
      <c r="J73" s="11"/>
    </row>
    <row r="74" spans="1:10" ht="21" customHeight="1" x14ac:dyDescent="0.25">
      <c r="A74" s="11"/>
      <c r="B74" s="12"/>
      <c r="C74" s="12"/>
      <c r="D74" s="12"/>
      <c r="E74" s="10"/>
      <c r="F74" s="11"/>
      <c r="G74" s="11"/>
      <c r="H74" s="13"/>
      <c r="I74" s="5"/>
      <c r="J74" s="11"/>
    </row>
    <row r="75" spans="1:10" ht="21" customHeight="1" x14ac:dyDescent="0.25">
      <c r="A75" s="11"/>
      <c r="B75" s="12"/>
      <c r="C75" s="12"/>
      <c r="D75" s="12"/>
      <c r="E75" s="10"/>
      <c r="F75" s="11"/>
      <c r="G75" s="11"/>
      <c r="H75" s="13"/>
      <c r="I75" s="5"/>
      <c r="J75" s="11"/>
    </row>
    <row r="76" spans="1:10" ht="21" customHeight="1" x14ac:dyDescent="0.25">
      <c r="A76" s="11"/>
      <c r="B76" s="12"/>
      <c r="C76" s="12"/>
      <c r="D76" s="12"/>
      <c r="E76" s="10"/>
      <c r="F76" s="11"/>
      <c r="G76" s="11"/>
      <c r="H76" s="13"/>
      <c r="I76" s="5"/>
      <c r="J76" s="11"/>
    </row>
    <row r="77" spans="1:10" ht="21" customHeight="1" x14ac:dyDescent="0.25">
      <c r="A77" s="11"/>
      <c r="B77" s="12"/>
      <c r="C77" s="12"/>
      <c r="D77" s="12"/>
      <c r="E77" s="10"/>
      <c r="F77" s="11"/>
      <c r="G77" s="11"/>
      <c r="H77" s="13"/>
      <c r="I77" s="5"/>
      <c r="J77" s="11"/>
    </row>
    <row r="78" spans="1:10" ht="21" customHeight="1" x14ac:dyDescent="0.25">
      <c r="A78" s="11"/>
      <c r="B78" s="12"/>
      <c r="C78" s="12"/>
      <c r="D78" s="12"/>
      <c r="E78" s="10"/>
      <c r="F78" s="11"/>
      <c r="G78" s="11"/>
      <c r="H78" s="13"/>
      <c r="I78" s="5"/>
      <c r="J78" s="11"/>
    </row>
    <row r="79" spans="1:10" ht="21" customHeight="1" x14ac:dyDescent="0.25">
      <c r="A79" s="11"/>
      <c r="B79" s="12"/>
      <c r="C79" s="12"/>
      <c r="D79" s="12"/>
      <c r="E79" s="10"/>
      <c r="F79" s="11"/>
      <c r="G79" s="11"/>
      <c r="H79" s="13"/>
      <c r="I79" s="5"/>
      <c r="J79" s="11"/>
    </row>
    <row r="80" spans="1:10" ht="21" customHeight="1" x14ac:dyDescent="0.25">
      <c r="A80" s="11"/>
      <c r="B80" s="12"/>
      <c r="C80" s="12"/>
      <c r="D80" s="12"/>
      <c r="E80" s="10"/>
      <c r="F80" s="11"/>
      <c r="G80" s="11"/>
      <c r="H80" s="13"/>
      <c r="I80" s="5"/>
      <c r="J80" s="11"/>
    </row>
    <row r="81" spans="1:10" ht="21" customHeight="1" x14ac:dyDescent="0.25">
      <c r="A81" s="11"/>
      <c r="B81" s="12"/>
      <c r="C81" s="12"/>
      <c r="D81" s="12"/>
      <c r="E81" s="10"/>
      <c r="F81" s="11"/>
      <c r="G81" s="11"/>
      <c r="H81" s="13"/>
      <c r="I81" s="5"/>
      <c r="J81" s="11"/>
    </row>
    <row r="82" spans="1:10" ht="21" customHeight="1" x14ac:dyDescent="0.25">
      <c r="A82" s="11"/>
      <c r="B82" s="12"/>
      <c r="C82" s="12"/>
      <c r="D82" s="12"/>
      <c r="E82" s="10"/>
      <c r="F82" s="11"/>
      <c r="G82" s="11"/>
      <c r="H82" s="13"/>
      <c r="I82" s="5"/>
      <c r="J82" s="11"/>
    </row>
    <row r="83" spans="1:10" ht="21" customHeight="1" x14ac:dyDescent="0.25">
      <c r="A83" s="11"/>
      <c r="B83" s="12"/>
      <c r="C83" s="12"/>
      <c r="D83" s="12"/>
      <c r="E83" s="10"/>
      <c r="F83" s="11"/>
      <c r="G83" s="11"/>
      <c r="H83" s="13"/>
      <c r="I83" s="5"/>
      <c r="J83" s="11"/>
    </row>
    <row r="84" spans="1:10" ht="21" customHeight="1" x14ac:dyDescent="0.25">
      <c r="A84" s="11"/>
      <c r="B84" s="12"/>
      <c r="C84" s="12"/>
      <c r="D84" s="12"/>
      <c r="E84" s="10"/>
      <c r="F84" s="11"/>
      <c r="G84" s="11"/>
      <c r="H84" s="13"/>
      <c r="I84" s="5"/>
      <c r="J84" s="11"/>
    </row>
    <row r="85" spans="1:10" ht="21" customHeight="1" x14ac:dyDescent="0.25">
      <c r="A85" s="11"/>
      <c r="B85" s="12"/>
      <c r="C85" s="12"/>
      <c r="D85" s="12"/>
      <c r="E85" s="10"/>
      <c r="F85" s="11"/>
      <c r="G85" s="11"/>
      <c r="H85" s="13"/>
      <c r="I85" s="5"/>
      <c r="J85" s="11"/>
    </row>
    <row r="86" spans="1:10" ht="21" customHeight="1" x14ac:dyDescent="0.25">
      <c r="A86" s="11"/>
      <c r="B86" s="12"/>
      <c r="C86" s="12"/>
      <c r="D86" s="12"/>
      <c r="E86" s="10"/>
      <c r="F86" s="11"/>
      <c r="G86" s="11"/>
      <c r="H86" s="13"/>
      <c r="I86" s="5"/>
      <c r="J86" s="11"/>
    </row>
    <row r="87" spans="1:10" ht="21" customHeight="1" x14ac:dyDescent="0.25">
      <c r="A87" s="11"/>
      <c r="B87" s="12"/>
      <c r="C87" s="12"/>
      <c r="D87" s="12"/>
      <c r="E87" s="10"/>
      <c r="F87" s="11"/>
      <c r="G87" s="11"/>
      <c r="H87" s="13"/>
      <c r="I87" s="5"/>
      <c r="J87" s="11"/>
    </row>
    <row r="88" spans="1:10" ht="21" customHeight="1" x14ac:dyDescent="0.25">
      <c r="A88" s="11"/>
      <c r="B88" s="12"/>
      <c r="C88" s="12"/>
      <c r="D88" s="12"/>
      <c r="E88" s="10"/>
      <c r="F88" s="11"/>
      <c r="G88" s="11"/>
      <c r="H88" s="13"/>
      <c r="I88" s="5"/>
      <c r="J88" s="11"/>
    </row>
    <row r="89" spans="1:10" ht="21" customHeight="1" x14ac:dyDescent="0.25">
      <c r="A89" s="11"/>
      <c r="B89" s="12"/>
      <c r="C89" s="12"/>
      <c r="D89" s="12"/>
      <c r="E89" s="10"/>
      <c r="F89" s="11"/>
      <c r="G89" s="11"/>
      <c r="H89" s="13"/>
      <c r="I89" s="5"/>
      <c r="J89" s="11"/>
    </row>
    <row r="90" spans="1:10" ht="21" customHeight="1" x14ac:dyDescent="0.25">
      <c r="A90" s="11"/>
      <c r="B90" s="12"/>
      <c r="C90" s="12"/>
      <c r="D90" s="12"/>
      <c r="E90" s="10"/>
      <c r="F90" s="11"/>
      <c r="G90" s="11"/>
      <c r="H90" s="13"/>
      <c r="I90" s="5"/>
      <c r="J90" s="11"/>
    </row>
    <row r="91" spans="1:10" ht="21" customHeight="1" x14ac:dyDescent="0.25">
      <c r="A91" s="11"/>
      <c r="B91" s="12"/>
      <c r="C91" s="12"/>
      <c r="D91" s="12"/>
      <c r="E91" s="10"/>
      <c r="F91" s="11"/>
      <c r="G91" s="11"/>
      <c r="H91" s="13"/>
      <c r="I91" s="5"/>
      <c r="J91" s="11"/>
    </row>
    <row r="92" spans="1:10" ht="21" customHeight="1" x14ac:dyDescent="0.25">
      <c r="A92" s="11"/>
      <c r="B92" s="12"/>
      <c r="C92" s="12"/>
      <c r="D92" s="12"/>
      <c r="E92" s="10"/>
      <c r="F92" s="11"/>
      <c r="G92" s="11"/>
      <c r="H92" s="13"/>
      <c r="I92" s="5"/>
      <c r="J92" s="11"/>
    </row>
    <row r="93" spans="1:10" ht="21" customHeight="1" x14ac:dyDescent="0.25">
      <c r="A93" s="11"/>
      <c r="B93" s="12"/>
      <c r="C93" s="12"/>
      <c r="D93" s="12"/>
      <c r="E93" s="10"/>
      <c r="F93" s="11"/>
      <c r="G93" s="11"/>
      <c r="H93" s="13"/>
      <c r="I93" s="5"/>
      <c r="J93" s="11"/>
    </row>
    <row r="94" spans="1:10" ht="21" customHeight="1" x14ac:dyDescent="0.25">
      <c r="A94" s="11"/>
      <c r="B94" s="12"/>
      <c r="C94" s="12"/>
      <c r="D94" s="12"/>
      <c r="E94" s="10"/>
      <c r="F94" s="11"/>
      <c r="G94" s="11"/>
      <c r="H94" s="13"/>
      <c r="I94" s="5"/>
      <c r="J94" s="11"/>
    </row>
    <row r="95" spans="1:10" ht="21" customHeight="1" x14ac:dyDescent="0.25">
      <c r="A95" s="11"/>
      <c r="B95" s="12"/>
      <c r="C95" s="12"/>
      <c r="D95" s="12"/>
      <c r="E95" s="10"/>
      <c r="F95" s="11"/>
      <c r="G95" s="11"/>
      <c r="H95" s="13"/>
      <c r="I95" s="5"/>
      <c r="J95" s="11"/>
    </row>
    <row r="96" spans="1:10" ht="21" customHeight="1" x14ac:dyDescent="0.25">
      <c r="A96" s="11"/>
      <c r="B96" s="12"/>
      <c r="C96" s="12"/>
      <c r="D96" s="12"/>
      <c r="E96" s="10"/>
      <c r="F96" s="11"/>
      <c r="G96" s="11"/>
      <c r="H96" s="13"/>
      <c r="I96" s="5"/>
      <c r="J96" s="11"/>
    </row>
    <row r="97" spans="1:10" ht="21" customHeight="1" x14ac:dyDescent="0.25">
      <c r="A97" s="11"/>
      <c r="B97" s="12"/>
      <c r="C97" s="12"/>
      <c r="D97" s="12"/>
      <c r="E97" s="10"/>
      <c r="F97" s="11"/>
      <c r="G97" s="11"/>
      <c r="H97" s="13"/>
      <c r="I97" s="5"/>
      <c r="J97" s="11"/>
    </row>
    <row r="98" spans="1:10" ht="21" customHeight="1" x14ac:dyDescent="0.25">
      <c r="A98" s="11"/>
      <c r="B98" s="12"/>
      <c r="C98" s="12"/>
      <c r="D98" s="12"/>
      <c r="E98" s="10"/>
      <c r="F98" s="11"/>
      <c r="G98" s="11"/>
      <c r="H98" s="13"/>
      <c r="I98" s="5"/>
      <c r="J98" s="11"/>
    </row>
    <row r="99" spans="1:10" ht="21" customHeight="1" x14ac:dyDescent="0.25">
      <c r="A99" s="11"/>
      <c r="B99" s="12"/>
      <c r="C99" s="12"/>
      <c r="D99" s="12"/>
      <c r="E99" s="10"/>
      <c r="F99" s="11"/>
      <c r="G99" s="11"/>
      <c r="H99" s="13"/>
      <c r="I99" s="5"/>
      <c r="J99" s="11"/>
    </row>
    <row r="100" spans="1:10" ht="21" customHeight="1" x14ac:dyDescent="0.25">
      <c r="A100" s="11"/>
      <c r="B100" s="12"/>
      <c r="C100" s="12"/>
      <c r="D100" s="12"/>
      <c r="E100" s="10"/>
      <c r="F100" s="11"/>
      <c r="G100" s="11"/>
      <c r="H100" s="13"/>
      <c r="I100" s="5"/>
      <c r="J100" s="11"/>
    </row>
    <row r="101" spans="1:10" ht="21" customHeight="1" x14ac:dyDescent="0.25">
      <c r="A101" s="11"/>
      <c r="B101" s="12"/>
      <c r="C101" s="12"/>
      <c r="D101" s="12"/>
      <c r="E101" s="10"/>
      <c r="F101" s="11"/>
      <c r="G101" s="11"/>
      <c r="H101" s="13"/>
      <c r="I101" s="5"/>
      <c r="J101" s="11"/>
    </row>
    <row r="102" spans="1:10" ht="21" customHeight="1" x14ac:dyDescent="0.25">
      <c r="A102" s="11"/>
      <c r="B102" s="12"/>
      <c r="C102" s="12"/>
      <c r="D102" s="12"/>
      <c r="E102" s="10"/>
      <c r="F102" s="11"/>
      <c r="G102" s="11"/>
      <c r="H102" s="13"/>
      <c r="I102" s="5"/>
      <c r="J102" s="11"/>
    </row>
    <row r="103" spans="1:10" ht="21" customHeight="1" x14ac:dyDescent="0.25">
      <c r="A103" s="11"/>
      <c r="B103" s="12"/>
      <c r="C103" s="12"/>
      <c r="D103" s="12"/>
      <c r="E103" s="10"/>
      <c r="F103" s="11"/>
      <c r="G103" s="11"/>
      <c r="H103" s="13"/>
      <c r="I103" s="5"/>
      <c r="J103" s="11"/>
    </row>
    <row r="104" spans="1:10" ht="21" customHeight="1" x14ac:dyDescent="0.25">
      <c r="A104" s="11"/>
      <c r="B104" s="12"/>
      <c r="C104" s="12"/>
      <c r="D104" s="12"/>
      <c r="E104" s="10"/>
      <c r="F104" s="11"/>
      <c r="G104" s="11"/>
      <c r="H104" s="13"/>
      <c r="I104" s="5"/>
      <c r="J104" s="11"/>
    </row>
    <row r="105" spans="1:10" ht="21" customHeight="1" x14ac:dyDescent="0.25">
      <c r="A105" s="11"/>
      <c r="B105" s="12"/>
      <c r="C105" s="12"/>
      <c r="D105" s="12"/>
      <c r="E105" s="10"/>
      <c r="F105" s="11"/>
      <c r="G105" s="11"/>
      <c r="H105" s="13"/>
      <c r="I105" s="5"/>
      <c r="J105" s="11"/>
    </row>
    <row r="106" spans="1:10" ht="21" customHeight="1" x14ac:dyDescent="0.25">
      <c r="A106" s="11"/>
      <c r="B106" s="12"/>
      <c r="C106" s="12"/>
      <c r="D106" s="12"/>
      <c r="E106" s="10"/>
      <c r="F106" s="11"/>
      <c r="G106" s="11"/>
      <c r="H106" s="13"/>
      <c r="I106" s="5"/>
      <c r="J106" s="11"/>
    </row>
    <row r="107" spans="1:10" ht="21" customHeight="1" x14ac:dyDescent="0.25">
      <c r="A107" s="11"/>
      <c r="B107" s="12"/>
      <c r="C107" s="12"/>
      <c r="D107" s="12"/>
      <c r="E107" s="10"/>
      <c r="F107" s="11"/>
      <c r="G107" s="11"/>
      <c r="H107" s="13"/>
      <c r="I107" s="5"/>
      <c r="J107" s="11"/>
    </row>
    <row r="108" spans="1:10" ht="21" customHeight="1" x14ac:dyDescent="0.25">
      <c r="A108" s="11"/>
      <c r="B108" s="12"/>
      <c r="C108" s="12"/>
      <c r="D108" s="12"/>
      <c r="E108" s="10"/>
      <c r="F108" s="11"/>
      <c r="G108" s="11"/>
      <c r="H108" s="13"/>
      <c r="I108" s="5"/>
      <c r="J108" s="11"/>
    </row>
    <row r="109" spans="1:10" ht="21" customHeight="1" x14ac:dyDescent="0.25">
      <c r="A109" s="11"/>
      <c r="B109" s="12"/>
      <c r="C109" s="12"/>
      <c r="D109" s="12"/>
      <c r="E109" s="10"/>
      <c r="F109" s="11"/>
      <c r="G109" s="11"/>
      <c r="H109" s="13"/>
      <c r="I109" s="5"/>
      <c r="J109" s="11"/>
    </row>
    <row r="110" spans="1:10" ht="21" customHeight="1" x14ac:dyDescent="0.25">
      <c r="A110" s="11"/>
      <c r="B110" s="12"/>
      <c r="C110" s="12"/>
      <c r="D110" s="12"/>
      <c r="E110" s="10"/>
      <c r="F110" s="11"/>
      <c r="G110" s="11"/>
      <c r="H110" s="13"/>
      <c r="I110" s="5"/>
      <c r="J110" s="11"/>
    </row>
    <row r="111" spans="1:10" ht="21" customHeight="1" x14ac:dyDescent="0.25">
      <c r="A111" s="11"/>
      <c r="B111" s="12"/>
      <c r="C111" s="12"/>
      <c r="D111" s="12"/>
      <c r="E111" s="10"/>
      <c r="F111" s="11"/>
      <c r="G111" s="11"/>
      <c r="H111" s="13"/>
      <c r="I111" s="5"/>
      <c r="J111" s="11"/>
    </row>
    <row r="112" spans="1:10" ht="21" customHeight="1" x14ac:dyDescent="0.25">
      <c r="A112" s="11"/>
      <c r="B112" s="12"/>
      <c r="C112" s="12"/>
      <c r="D112" s="12"/>
      <c r="E112" s="10"/>
      <c r="F112" s="11"/>
      <c r="G112" s="11"/>
      <c r="H112" s="13"/>
      <c r="I112" s="5"/>
      <c r="J112" s="11"/>
    </row>
    <row r="113" spans="1:10" ht="21" customHeight="1" x14ac:dyDescent="0.25">
      <c r="A113" s="11"/>
      <c r="B113" s="12"/>
      <c r="C113" s="12"/>
      <c r="D113" s="12"/>
      <c r="E113" s="10"/>
      <c r="F113" s="11"/>
      <c r="G113" s="11"/>
      <c r="H113" s="13"/>
      <c r="I113" s="5"/>
      <c r="J113" s="11"/>
    </row>
    <row r="114" spans="1:10" ht="21" customHeight="1" x14ac:dyDescent="0.25">
      <c r="A114" s="11"/>
      <c r="B114" s="12"/>
      <c r="C114" s="12"/>
      <c r="D114" s="12"/>
      <c r="E114" s="10"/>
      <c r="F114" s="11"/>
      <c r="G114" s="11"/>
      <c r="H114" s="13"/>
      <c r="I114" s="5"/>
      <c r="J114" s="11"/>
    </row>
    <row r="115" spans="1:10" ht="21" customHeight="1" x14ac:dyDescent="0.25">
      <c r="A115" s="11"/>
      <c r="B115" s="12"/>
      <c r="C115" s="12"/>
      <c r="D115" s="12"/>
      <c r="E115" s="10"/>
      <c r="F115" s="11"/>
      <c r="G115" s="11"/>
      <c r="H115" s="13"/>
      <c r="I115" s="5"/>
      <c r="J115" s="11"/>
    </row>
    <row r="116" spans="1:10" ht="21" customHeight="1" x14ac:dyDescent="0.25">
      <c r="A116" s="11"/>
      <c r="B116" s="12"/>
      <c r="C116" s="12"/>
      <c r="D116" s="12"/>
      <c r="E116" s="10"/>
      <c r="F116" s="11"/>
      <c r="G116" s="11"/>
      <c r="H116" s="13"/>
      <c r="I116" s="5"/>
      <c r="J116" s="11"/>
    </row>
    <row r="117" spans="1:10" ht="21" customHeight="1" x14ac:dyDescent="0.25">
      <c r="A117" s="11"/>
      <c r="B117" s="12"/>
      <c r="C117" s="12"/>
      <c r="D117" s="12"/>
      <c r="E117" s="10"/>
      <c r="F117" s="11"/>
      <c r="G117" s="11"/>
      <c r="H117" s="13"/>
      <c r="I117" s="5"/>
      <c r="J117" s="11"/>
    </row>
    <row r="118" spans="1:10" ht="21" customHeight="1" x14ac:dyDescent="0.25">
      <c r="A118" s="11"/>
      <c r="B118" s="12"/>
      <c r="C118" s="12"/>
      <c r="D118" s="12"/>
      <c r="E118" s="10"/>
      <c r="F118" s="11"/>
      <c r="G118" s="11"/>
      <c r="H118" s="13"/>
      <c r="I118" s="5"/>
      <c r="J118" s="11"/>
    </row>
    <row r="119" spans="1:10" ht="21" customHeight="1" x14ac:dyDescent="0.25">
      <c r="A119" s="11"/>
      <c r="B119" s="12"/>
      <c r="C119" s="12"/>
      <c r="D119" s="12"/>
      <c r="E119" s="10"/>
      <c r="F119" s="11"/>
      <c r="G119" s="11"/>
      <c r="H119" s="13"/>
      <c r="I119" s="5"/>
      <c r="J119" s="11"/>
    </row>
    <row r="120" spans="1:10" ht="21" customHeight="1" x14ac:dyDescent="0.25">
      <c r="A120" s="11"/>
      <c r="B120" s="12"/>
      <c r="C120" s="12"/>
      <c r="D120" s="12"/>
      <c r="E120" s="10"/>
      <c r="F120" s="11"/>
      <c r="G120" s="11"/>
      <c r="H120" s="13"/>
      <c r="I120" s="5"/>
      <c r="J120" s="11"/>
    </row>
    <row r="121" spans="1:10" ht="21" customHeight="1" x14ac:dyDescent="0.25">
      <c r="A121" s="11"/>
      <c r="B121" s="12"/>
      <c r="C121" s="12"/>
      <c r="D121" s="12"/>
      <c r="E121" s="10"/>
      <c r="F121" s="11"/>
      <c r="G121" s="11"/>
      <c r="H121" s="13"/>
      <c r="I121" s="5"/>
      <c r="J121" s="11"/>
    </row>
    <row r="122" spans="1:10" ht="21" customHeight="1" x14ac:dyDescent="0.25">
      <c r="A122" s="11"/>
      <c r="B122" s="12"/>
      <c r="C122" s="12"/>
      <c r="D122" s="12"/>
      <c r="E122" s="10"/>
      <c r="F122" s="11"/>
      <c r="G122" s="11"/>
      <c r="H122" s="13"/>
      <c r="I122" s="5"/>
      <c r="J122" s="11"/>
    </row>
    <row r="123" spans="1:10" ht="21" customHeight="1" x14ac:dyDescent="0.25">
      <c r="A123" s="11"/>
      <c r="B123" s="12"/>
      <c r="C123" s="12"/>
      <c r="D123" s="12"/>
      <c r="E123" s="10"/>
      <c r="F123" s="11"/>
      <c r="G123" s="11"/>
      <c r="H123" s="13"/>
      <c r="I123" s="5"/>
      <c r="J123" s="11"/>
    </row>
    <row r="124" spans="1:10" ht="21" customHeight="1" x14ac:dyDescent="0.25">
      <c r="A124" s="11"/>
      <c r="B124" s="12"/>
      <c r="C124" s="12"/>
      <c r="D124" s="12"/>
      <c r="E124" s="10"/>
      <c r="F124" s="11"/>
      <c r="G124" s="11"/>
      <c r="H124" s="13"/>
      <c r="I124" s="5"/>
      <c r="J124" s="11"/>
    </row>
    <row r="125" spans="1:10" ht="21" customHeight="1" x14ac:dyDescent="0.25">
      <c r="A125" s="11"/>
      <c r="B125" s="12"/>
      <c r="C125" s="12"/>
      <c r="D125" s="12"/>
      <c r="E125" s="10"/>
      <c r="F125" s="11"/>
      <c r="G125" s="11"/>
      <c r="H125" s="13"/>
      <c r="I125" s="5"/>
      <c r="J125" s="11"/>
    </row>
    <row r="126" spans="1:10" ht="21" customHeight="1" x14ac:dyDescent="0.25">
      <c r="A126" s="11"/>
      <c r="B126" s="12"/>
      <c r="C126" s="12"/>
      <c r="D126" s="12"/>
      <c r="E126" s="10"/>
      <c r="F126" s="11"/>
      <c r="G126" s="11"/>
      <c r="H126" s="13"/>
      <c r="I126" s="5"/>
      <c r="J126" s="11"/>
    </row>
    <row r="127" spans="1:10" ht="21" customHeight="1" x14ac:dyDescent="0.25">
      <c r="A127" s="11"/>
      <c r="B127" s="12"/>
      <c r="C127" s="12"/>
      <c r="D127" s="12"/>
      <c r="E127" s="10"/>
      <c r="F127" s="11"/>
      <c r="G127" s="11"/>
      <c r="H127" s="13"/>
      <c r="I127" s="5"/>
      <c r="J127" s="11"/>
    </row>
    <row r="128" spans="1:10" ht="21" customHeight="1" x14ac:dyDescent="0.25">
      <c r="A128" s="11"/>
      <c r="B128" s="12"/>
      <c r="C128" s="12"/>
      <c r="D128" s="12"/>
      <c r="E128" s="10"/>
      <c r="F128" s="11"/>
      <c r="G128" s="11"/>
      <c r="H128" s="13"/>
      <c r="I128" s="5"/>
      <c r="J128" s="11"/>
    </row>
    <row r="129" spans="1:10" ht="21" customHeight="1" x14ac:dyDescent="0.25">
      <c r="A129" s="11"/>
      <c r="B129" s="12"/>
      <c r="C129" s="12"/>
      <c r="D129" s="12"/>
      <c r="E129" s="10"/>
      <c r="F129" s="11"/>
      <c r="G129" s="11"/>
      <c r="H129" s="13"/>
      <c r="I129" s="5"/>
      <c r="J129" s="11"/>
    </row>
    <row r="130" spans="1:10" ht="21" customHeight="1" x14ac:dyDescent="0.25">
      <c r="A130" s="11"/>
      <c r="B130" s="12"/>
      <c r="C130" s="12"/>
      <c r="D130" s="12"/>
      <c r="E130" s="10"/>
      <c r="F130" s="11"/>
      <c r="G130" s="11"/>
      <c r="H130" s="13"/>
      <c r="I130" s="5"/>
      <c r="J130" s="11"/>
    </row>
    <row r="131" spans="1:10" ht="21" customHeight="1" x14ac:dyDescent="0.25">
      <c r="A131" s="11"/>
      <c r="B131" s="12"/>
      <c r="C131" s="12"/>
      <c r="D131" s="12"/>
      <c r="E131" s="10"/>
      <c r="F131" s="11"/>
      <c r="G131" s="11"/>
      <c r="H131" s="13"/>
      <c r="I131" s="5"/>
      <c r="J131" s="11"/>
    </row>
    <row r="132" spans="1:10" ht="21" customHeight="1" x14ac:dyDescent="0.25">
      <c r="A132" s="11"/>
      <c r="B132" s="12"/>
      <c r="C132" s="12"/>
      <c r="D132" s="12"/>
      <c r="E132" s="10"/>
      <c r="F132" s="11"/>
      <c r="G132" s="11"/>
      <c r="H132" s="13"/>
      <c r="I132" s="5"/>
      <c r="J132" s="11"/>
    </row>
    <row r="133" spans="1:10" ht="21" customHeight="1" x14ac:dyDescent="0.25">
      <c r="A133" s="11"/>
      <c r="B133" s="12"/>
      <c r="C133" s="12"/>
      <c r="D133" s="12"/>
      <c r="E133" s="10"/>
      <c r="F133" s="11"/>
      <c r="G133" s="11"/>
      <c r="H133" s="13"/>
      <c r="I133" s="5"/>
      <c r="J133" s="11"/>
    </row>
    <row r="134" spans="1:10" ht="21" customHeight="1" x14ac:dyDescent="0.25">
      <c r="A134" s="11"/>
      <c r="B134" s="12"/>
      <c r="C134" s="12"/>
      <c r="D134" s="12"/>
      <c r="E134" s="10"/>
      <c r="F134" s="11"/>
      <c r="G134" s="11"/>
      <c r="H134" s="13"/>
      <c r="I134" s="5"/>
      <c r="J134" s="11"/>
    </row>
    <row r="135" spans="1:10" ht="21" customHeight="1" x14ac:dyDescent="0.25">
      <c r="A135" s="11"/>
      <c r="B135" s="12"/>
      <c r="C135" s="12"/>
      <c r="D135" s="12"/>
      <c r="E135" s="10"/>
      <c r="F135" s="11"/>
      <c r="G135" s="11"/>
      <c r="H135" s="13"/>
      <c r="I135" s="5"/>
      <c r="J135" s="11"/>
    </row>
    <row r="136" spans="1:10" ht="21" customHeight="1" x14ac:dyDescent="0.25">
      <c r="A136" s="11"/>
      <c r="B136" s="12"/>
      <c r="C136" s="12"/>
      <c r="D136" s="12"/>
      <c r="E136" s="10"/>
      <c r="F136" s="11"/>
      <c r="G136" s="11"/>
      <c r="H136" s="13"/>
      <c r="I136" s="5"/>
      <c r="J136" s="11"/>
    </row>
    <row r="137" spans="1:10" ht="21" customHeight="1" x14ac:dyDescent="0.25">
      <c r="A137" s="11"/>
      <c r="B137" s="12"/>
      <c r="C137" s="12"/>
      <c r="D137" s="12"/>
      <c r="E137" s="10"/>
      <c r="F137" s="11"/>
      <c r="G137" s="11"/>
      <c r="H137" s="13"/>
      <c r="I137" s="5"/>
      <c r="J137" s="11"/>
    </row>
    <row r="138" spans="1:10" ht="21" customHeight="1" x14ac:dyDescent="0.25">
      <c r="A138" s="11"/>
      <c r="B138" s="12"/>
      <c r="C138" s="12"/>
      <c r="D138" s="12"/>
      <c r="E138" s="10"/>
      <c r="F138" s="11"/>
      <c r="G138" s="11"/>
      <c r="H138" s="13"/>
      <c r="I138" s="5"/>
      <c r="J138" s="11"/>
    </row>
    <row r="139" spans="1:10" ht="21" customHeight="1" x14ac:dyDescent="0.25">
      <c r="A139" s="11"/>
      <c r="B139" s="12"/>
      <c r="C139" s="12"/>
      <c r="D139" s="12"/>
      <c r="E139" s="10"/>
      <c r="F139" s="11"/>
      <c r="G139" s="11"/>
      <c r="H139" s="13"/>
      <c r="I139" s="5"/>
      <c r="J139" s="11"/>
    </row>
    <row r="140" spans="1:10" ht="21" customHeight="1" x14ac:dyDescent="0.25">
      <c r="A140" s="11"/>
      <c r="B140" s="12"/>
      <c r="C140" s="12"/>
      <c r="D140" s="12"/>
      <c r="E140" s="10"/>
      <c r="F140" s="11"/>
      <c r="G140" s="11"/>
      <c r="H140" s="13"/>
      <c r="I140" s="5"/>
      <c r="J140" s="11"/>
    </row>
    <row r="141" spans="1:10" ht="21" customHeight="1" x14ac:dyDescent="0.25">
      <c r="A141" s="11"/>
      <c r="B141" s="12"/>
      <c r="C141" s="12"/>
      <c r="D141" s="12"/>
      <c r="E141" s="10"/>
      <c r="F141" s="11"/>
      <c r="G141" s="11"/>
      <c r="H141" s="13"/>
      <c r="I141" s="5"/>
      <c r="J141" s="11"/>
    </row>
    <row r="142" spans="1:10" ht="21" customHeight="1" x14ac:dyDescent="0.25">
      <c r="A142" s="11"/>
      <c r="B142" s="12"/>
      <c r="C142" s="12"/>
      <c r="D142" s="12"/>
      <c r="E142" s="10"/>
      <c r="F142" s="11"/>
      <c r="G142" s="11"/>
      <c r="H142" s="13"/>
      <c r="I142" s="5"/>
      <c r="J142" s="11"/>
    </row>
    <row r="143" spans="1:10" ht="21" customHeight="1" x14ac:dyDescent="0.25">
      <c r="A143" s="11"/>
      <c r="B143" s="12"/>
      <c r="C143" s="12"/>
      <c r="D143" s="12"/>
      <c r="E143" s="10"/>
      <c r="F143" s="11"/>
      <c r="G143" s="11"/>
      <c r="H143" s="13"/>
      <c r="I143" s="5"/>
      <c r="J143" s="11"/>
    </row>
    <row r="144" spans="1:10" ht="21" customHeight="1" x14ac:dyDescent="0.25">
      <c r="A144" s="11"/>
      <c r="B144" s="12"/>
      <c r="C144" s="12"/>
      <c r="D144" s="12"/>
      <c r="E144" s="10"/>
      <c r="F144" s="11"/>
      <c r="G144" s="11"/>
      <c r="H144" s="13"/>
      <c r="I144" s="5"/>
      <c r="J144" s="11"/>
    </row>
    <row r="145" spans="1:10" ht="21" customHeight="1" x14ac:dyDescent="0.25">
      <c r="A145" s="11"/>
      <c r="B145" s="12"/>
      <c r="C145" s="12"/>
      <c r="D145" s="12"/>
      <c r="E145" s="10"/>
      <c r="F145" s="11"/>
      <c r="G145" s="11"/>
      <c r="H145" s="13"/>
      <c r="I145" s="5"/>
      <c r="J145" s="11"/>
    </row>
    <row r="146" spans="1:10" ht="21" customHeight="1" x14ac:dyDescent="0.25">
      <c r="A146" s="11"/>
      <c r="B146" s="12"/>
      <c r="C146" s="12"/>
      <c r="D146" s="12"/>
      <c r="E146" s="10"/>
      <c r="F146" s="11"/>
      <c r="G146" s="11"/>
      <c r="H146" s="13"/>
      <c r="I146" s="5"/>
      <c r="J146" s="11"/>
    </row>
    <row r="147" spans="1:10" ht="21" customHeight="1" x14ac:dyDescent="0.25">
      <c r="A147" s="11"/>
      <c r="B147" s="12"/>
      <c r="C147" s="12"/>
      <c r="D147" s="12"/>
      <c r="E147" s="10"/>
      <c r="F147" s="11"/>
      <c r="G147" s="11"/>
      <c r="H147" s="13"/>
      <c r="I147" s="5"/>
      <c r="J147" s="11"/>
    </row>
    <row r="148" spans="1:10" ht="21" customHeight="1" x14ac:dyDescent="0.25">
      <c r="A148" s="11"/>
      <c r="B148" s="12"/>
      <c r="C148" s="12"/>
      <c r="D148" s="12"/>
      <c r="E148" s="10"/>
      <c r="F148" s="11"/>
      <c r="G148" s="11"/>
      <c r="H148" s="13"/>
      <c r="I148" s="5"/>
      <c r="J148" s="11"/>
    </row>
    <row r="149" spans="1:10" ht="21" customHeight="1" x14ac:dyDescent="0.25">
      <c r="A149" s="11"/>
      <c r="B149" s="12"/>
      <c r="C149" s="12"/>
      <c r="D149" s="12"/>
      <c r="E149" s="10"/>
      <c r="F149" s="11"/>
      <c r="G149" s="11"/>
      <c r="H149" s="13"/>
      <c r="I149" s="5"/>
      <c r="J149" s="11"/>
    </row>
    <row r="150" spans="1:10" ht="21" customHeight="1" x14ac:dyDescent="0.25">
      <c r="A150" s="11"/>
      <c r="B150" s="12"/>
      <c r="C150" s="12"/>
      <c r="D150" s="12"/>
      <c r="E150" s="10"/>
      <c r="F150" s="11"/>
      <c r="G150" s="11"/>
      <c r="H150" s="13"/>
      <c r="I150" s="5"/>
      <c r="J150" s="11"/>
    </row>
    <row r="151" spans="1:10" ht="21" customHeight="1" x14ac:dyDescent="0.25">
      <c r="A151" s="11"/>
      <c r="B151" s="12"/>
      <c r="C151" s="12"/>
      <c r="D151" s="12"/>
      <c r="E151" s="10"/>
      <c r="F151" s="11"/>
      <c r="G151" s="11"/>
      <c r="H151" s="13"/>
      <c r="I151" s="5"/>
      <c r="J151" s="11"/>
    </row>
    <row r="152" spans="1:10" ht="21" customHeight="1" x14ac:dyDescent="0.25">
      <c r="A152" s="11"/>
      <c r="B152" s="12"/>
      <c r="C152" s="12"/>
      <c r="D152" s="12"/>
      <c r="E152" s="10"/>
      <c r="F152" s="11"/>
      <c r="G152" s="11"/>
      <c r="H152" s="13"/>
      <c r="I152" s="5"/>
      <c r="J152" s="11"/>
    </row>
    <row r="153" spans="1:10" ht="21" customHeight="1" x14ac:dyDescent="0.25">
      <c r="A153" s="11"/>
      <c r="B153" s="12"/>
      <c r="C153" s="12"/>
      <c r="D153" s="12"/>
      <c r="E153" s="10"/>
      <c r="F153" s="11"/>
      <c r="G153" s="11"/>
      <c r="H153" s="13"/>
      <c r="I153" s="5"/>
      <c r="J153" s="11"/>
    </row>
    <row r="154" spans="1:10" ht="21" customHeight="1" x14ac:dyDescent="0.25">
      <c r="A154" s="11"/>
      <c r="B154" s="12"/>
      <c r="C154" s="12"/>
      <c r="D154" s="12"/>
      <c r="E154" s="10"/>
      <c r="F154" s="11"/>
      <c r="G154" s="11"/>
      <c r="H154" s="13"/>
      <c r="I154" s="5"/>
      <c r="J154" s="11"/>
    </row>
    <row r="155" spans="1:10" ht="21" customHeight="1" x14ac:dyDescent="0.25">
      <c r="A155" s="11"/>
      <c r="B155" s="12"/>
      <c r="C155" s="12"/>
      <c r="D155" s="12"/>
      <c r="E155" s="10"/>
      <c r="F155" s="11"/>
      <c r="G155" s="11"/>
      <c r="H155" s="13"/>
      <c r="I155" s="5"/>
      <c r="J155" s="11"/>
    </row>
    <row r="156" spans="1:10" ht="21" customHeight="1" x14ac:dyDescent="0.25">
      <c r="A156" s="11"/>
      <c r="B156" s="12"/>
      <c r="C156" s="12"/>
      <c r="D156" s="12"/>
      <c r="E156" s="10"/>
      <c r="F156" s="11"/>
      <c r="G156" s="11"/>
      <c r="H156" s="13"/>
      <c r="I156" s="5"/>
      <c r="J156" s="11"/>
    </row>
    <row r="157" spans="1:10" ht="21" customHeight="1" x14ac:dyDescent="0.25">
      <c r="A157" s="11"/>
      <c r="B157" s="12"/>
      <c r="C157" s="12"/>
      <c r="D157" s="12"/>
      <c r="E157" s="10"/>
      <c r="F157" s="11"/>
      <c r="G157" s="11"/>
      <c r="H157" s="13"/>
      <c r="I157" s="5"/>
      <c r="J157" s="11"/>
    </row>
    <row r="158" spans="1:10" ht="21" customHeight="1" x14ac:dyDescent="0.25">
      <c r="A158" s="11"/>
      <c r="B158" s="12"/>
      <c r="C158" s="12"/>
      <c r="D158" s="12"/>
      <c r="E158" s="10"/>
      <c r="F158" s="11"/>
      <c r="G158" s="11"/>
      <c r="H158" s="13"/>
      <c r="I158" s="5"/>
      <c r="J158" s="11"/>
    </row>
    <row r="159" spans="1:10" ht="21" customHeight="1" x14ac:dyDescent="0.25">
      <c r="A159" s="11"/>
      <c r="B159" s="12"/>
      <c r="C159" s="12"/>
      <c r="D159" s="12"/>
      <c r="E159" s="10"/>
      <c r="F159" s="11"/>
      <c r="G159" s="11"/>
      <c r="H159" s="13"/>
      <c r="I159" s="5"/>
      <c r="J159" s="11"/>
    </row>
    <row r="160" spans="1:10" ht="21" customHeight="1" x14ac:dyDescent="0.25">
      <c r="A160" s="11"/>
      <c r="B160" s="12"/>
      <c r="C160" s="12"/>
      <c r="D160" s="12"/>
      <c r="E160" s="10"/>
      <c r="F160" s="11"/>
      <c r="G160" s="11"/>
      <c r="H160" s="13"/>
      <c r="I160" s="5"/>
      <c r="J160" s="11"/>
    </row>
    <row r="161" spans="1:10" ht="21" customHeight="1" x14ac:dyDescent="0.25">
      <c r="A161" s="11"/>
      <c r="B161" s="12"/>
      <c r="C161" s="12"/>
      <c r="D161" s="12"/>
      <c r="E161" s="10"/>
      <c r="F161" s="11"/>
      <c r="G161" s="11"/>
      <c r="H161" s="13"/>
      <c r="I161" s="5"/>
      <c r="J161" s="11"/>
    </row>
    <row r="162" spans="1:10" ht="21" customHeight="1" x14ac:dyDescent="0.25">
      <c r="A162" s="11"/>
      <c r="B162" s="12"/>
      <c r="C162" s="12"/>
      <c r="D162" s="12"/>
      <c r="E162" s="10"/>
      <c r="F162" s="11"/>
      <c r="G162" s="11"/>
      <c r="H162" s="13"/>
      <c r="I162" s="5"/>
      <c r="J162" s="11"/>
    </row>
    <row r="163" spans="1:10" ht="21" customHeight="1" x14ac:dyDescent="0.25">
      <c r="A163" s="11"/>
      <c r="B163" s="12"/>
      <c r="C163" s="12"/>
      <c r="D163" s="12"/>
      <c r="E163" s="10"/>
      <c r="F163" s="11"/>
      <c r="G163" s="11"/>
      <c r="H163" s="13"/>
      <c r="I163" s="5"/>
      <c r="J163" s="11"/>
    </row>
    <row r="164" spans="1:10" ht="21" customHeight="1" x14ac:dyDescent="0.25">
      <c r="A164" s="11"/>
      <c r="B164" s="12"/>
      <c r="C164" s="12"/>
      <c r="D164" s="12"/>
      <c r="E164" s="10"/>
      <c r="F164" s="11"/>
      <c r="G164" s="11"/>
      <c r="H164" s="13"/>
      <c r="I164" s="5"/>
      <c r="J164" s="11"/>
    </row>
    <row r="165" spans="1:10" ht="21" customHeight="1" x14ac:dyDescent="0.25">
      <c r="A165" s="11"/>
      <c r="B165" s="12"/>
      <c r="C165" s="12"/>
      <c r="D165" s="12"/>
      <c r="E165" s="10"/>
      <c r="F165" s="11"/>
      <c r="G165" s="11"/>
      <c r="H165" s="13"/>
      <c r="I165" s="5"/>
      <c r="J165" s="11"/>
    </row>
    <row r="166" spans="1:10" ht="21" customHeight="1" x14ac:dyDescent="0.25">
      <c r="A166" s="11"/>
      <c r="B166" s="12"/>
      <c r="C166" s="12"/>
      <c r="D166" s="12"/>
      <c r="E166" s="10"/>
      <c r="F166" s="11"/>
      <c r="G166" s="11"/>
      <c r="H166" s="13"/>
      <c r="I166" s="5"/>
      <c r="J166" s="11"/>
    </row>
    <row r="167" spans="1:10" ht="21" customHeight="1" x14ac:dyDescent="0.25">
      <c r="A167" s="11"/>
      <c r="B167" s="12"/>
      <c r="C167" s="12"/>
      <c r="D167" s="12"/>
      <c r="E167" s="10"/>
      <c r="F167" s="11"/>
      <c r="G167" s="11"/>
      <c r="H167" s="13"/>
      <c r="I167" s="5"/>
      <c r="J167" s="11"/>
    </row>
    <row r="168" spans="1:10" ht="21" customHeight="1" x14ac:dyDescent="0.25">
      <c r="A168" s="11"/>
      <c r="B168" s="12"/>
      <c r="C168" s="12"/>
      <c r="D168" s="12"/>
      <c r="E168" s="10"/>
      <c r="F168" s="11"/>
      <c r="G168" s="11"/>
      <c r="H168" s="13"/>
      <c r="I168" s="5"/>
      <c r="J168" s="11"/>
    </row>
    <row r="169" spans="1:10" ht="21" customHeight="1" x14ac:dyDescent="0.25">
      <c r="A169" s="11"/>
      <c r="B169" s="12"/>
      <c r="C169" s="12"/>
      <c r="D169" s="12"/>
      <c r="E169" s="10"/>
      <c r="F169" s="11"/>
      <c r="G169" s="11"/>
      <c r="H169" s="13"/>
      <c r="I169" s="5"/>
      <c r="J169" s="11"/>
    </row>
    <row r="170" spans="1:10" ht="21" customHeight="1" x14ac:dyDescent="0.25">
      <c r="A170" s="11"/>
      <c r="B170" s="12"/>
      <c r="C170" s="12"/>
      <c r="D170" s="12"/>
      <c r="E170" s="10"/>
      <c r="F170" s="11"/>
      <c r="G170" s="11"/>
      <c r="H170" s="13"/>
      <c r="I170" s="5"/>
      <c r="J170" s="11"/>
    </row>
    <row r="171" spans="1:10" ht="21" customHeight="1" x14ac:dyDescent="0.25">
      <c r="A171" s="11"/>
      <c r="B171" s="12"/>
      <c r="C171" s="12"/>
      <c r="D171" s="12"/>
      <c r="E171" s="10"/>
      <c r="F171" s="11"/>
      <c r="G171" s="11"/>
      <c r="H171" s="13"/>
      <c r="I171" s="5"/>
      <c r="J171" s="11"/>
    </row>
    <row r="172" spans="1:10" ht="21" customHeight="1" x14ac:dyDescent="0.25">
      <c r="A172" s="11"/>
      <c r="B172" s="12"/>
      <c r="C172" s="12"/>
      <c r="D172" s="12"/>
      <c r="E172" s="10"/>
      <c r="F172" s="11"/>
      <c r="G172" s="11"/>
      <c r="H172" s="13"/>
      <c r="I172" s="5"/>
      <c r="J172" s="11"/>
    </row>
    <row r="173" spans="1:10" ht="21" customHeight="1" x14ac:dyDescent="0.25">
      <c r="A173" s="11"/>
      <c r="B173" s="12"/>
      <c r="C173" s="12"/>
      <c r="D173" s="12"/>
      <c r="E173" s="10"/>
      <c r="F173" s="11"/>
      <c r="G173" s="11"/>
      <c r="H173" s="13"/>
      <c r="I173" s="5"/>
      <c r="J173" s="11"/>
    </row>
    <row r="174" spans="1:10" ht="21" customHeight="1" x14ac:dyDescent="0.25">
      <c r="A174" s="11"/>
      <c r="B174" s="12"/>
      <c r="C174" s="12"/>
      <c r="D174" s="12"/>
      <c r="E174" s="10"/>
      <c r="F174" s="11"/>
      <c r="G174" s="11"/>
      <c r="H174" s="13"/>
      <c r="I174" s="5"/>
      <c r="J174" s="11"/>
    </row>
    <row r="175" spans="1:10" ht="21" customHeight="1" x14ac:dyDescent="0.25">
      <c r="A175" s="11"/>
      <c r="B175" s="12"/>
      <c r="C175" s="12"/>
      <c r="D175" s="12"/>
      <c r="E175" s="10"/>
      <c r="F175" s="11"/>
      <c r="G175" s="11"/>
      <c r="H175" s="13"/>
      <c r="I175" s="5"/>
      <c r="J175" s="11"/>
    </row>
    <row r="176" spans="1:10" ht="21" customHeight="1" x14ac:dyDescent="0.25">
      <c r="A176" s="11"/>
      <c r="B176" s="12"/>
      <c r="C176" s="12"/>
      <c r="D176" s="12"/>
      <c r="E176" s="10"/>
      <c r="F176" s="11"/>
      <c r="G176" s="11"/>
      <c r="H176" s="13"/>
      <c r="I176" s="5"/>
      <c r="J176" s="11"/>
    </row>
    <row r="177" spans="1:10" ht="21" customHeight="1" x14ac:dyDescent="0.25">
      <c r="A177" s="11"/>
      <c r="B177" s="12"/>
      <c r="C177" s="12"/>
      <c r="D177" s="12"/>
      <c r="E177" s="10"/>
      <c r="F177" s="11"/>
      <c r="G177" s="11"/>
      <c r="H177" s="13"/>
      <c r="I177" s="5"/>
      <c r="J177" s="11"/>
    </row>
    <row r="178" spans="1:10" ht="21" customHeight="1" x14ac:dyDescent="0.25">
      <c r="A178" s="11"/>
      <c r="B178" s="12"/>
      <c r="C178" s="12"/>
      <c r="D178" s="12"/>
      <c r="E178" s="10"/>
      <c r="F178" s="11"/>
      <c r="G178" s="11"/>
      <c r="H178" s="13"/>
      <c r="I178" s="5"/>
      <c r="J178" s="11"/>
    </row>
    <row r="179" spans="1:10" ht="21" customHeight="1" x14ac:dyDescent="0.25">
      <c r="A179" s="11"/>
      <c r="B179" s="12"/>
      <c r="C179" s="12"/>
      <c r="D179" s="12"/>
      <c r="E179" s="10"/>
      <c r="F179" s="11"/>
      <c r="G179" s="11"/>
      <c r="H179" s="13"/>
      <c r="I179" s="5"/>
      <c r="J179" s="11"/>
    </row>
    <row r="180" spans="1:10" ht="21" customHeight="1" x14ac:dyDescent="0.25">
      <c r="A180" s="11"/>
      <c r="B180" s="12"/>
      <c r="C180" s="12"/>
      <c r="D180" s="12"/>
      <c r="E180" s="10"/>
      <c r="F180" s="11"/>
      <c r="G180" s="11"/>
      <c r="H180" s="13"/>
      <c r="I180" s="5"/>
      <c r="J180" s="11"/>
    </row>
    <row r="181" spans="1:10" ht="21" customHeight="1" x14ac:dyDescent="0.25">
      <c r="A181" s="11"/>
      <c r="B181" s="12"/>
      <c r="C181" s="12"/>
      <c r="D181" s="12"/>
      <c r="E181" s="10"/>
      <c r="F181" s="11"/>
      <c r="G181" s="11"/>
      <c r="H181" s="13"/>
      <c r="I181" s="5"/>
      <c r="J181" s="11"/>
    </row>
    <row r="182" spans="1:10" ht="21" customHeight="1" x14ac:dyDescent="0.25">
      <c r="A182" s="11"/>
      <c r="B182" s="12"/>
      <c r="C182" s="12"/>
      <c r="D182" s="12"/>
      <c r="E182" s="10"/>
      <c r="F182" s="11"/>
      <c r="G182" s="11"/>
      <c r="H182" s="13"/>
      <c r="I182" s="5"/>
      <c r="J182" s="11"/>
    </row>
    <row r="183" spans="1:10" ht="21" customHeight="1" x14ac:dyDescent="0.25">
      <c r="A183" s="11"/>
      <c r="B183" s="12"/>
      <c r="C183" s="12"/>
      <c r="D183" s="12"/>
      <c r="E183" s="10"/>
      <c r="F183" s="11"/>
      <c r="G183" s="11"/>
      <c r="H183" s="13"/>
      <c r="I183" s="5"/>
      <c r="J183" s="11"/>
    </row>
    <row r="184" spans="1:10" ht="21" customHeight="1" x14ac:dyDescent="0.25">
      <c r="A184" s="11"/>
      <c r="B184" s="12"/>
      <c r="C184" s="12"/>
      <c r="D184" s="12"/>
      <c r="E184" s="10"/>
      <c r="F184" s="11"/>
      <c r="G184" s="11"/>
      <c r="H184" s="13"/>
      <c r="I184" s="5"/>
      <c r="J184" s="11"/>
    </row>
    <row r="185" spans="1:10" ht="21" customHeight="1" x14ac:dyDescent="0.25">
      <c r="A185" s="11"/>
      <c r="B185" s="12"/>
      <c r="C185" s="12"/>
      <c r="D185" s="12"/>
      <c r="E185" s="10"/>
      <c r="F185" s="11"/>
      <c r="G185" s="11"/>
      <c r="H185" s="13"/>
      <c r="I185" s="5"/>
      <c r="J185" s="11"/>
    </row>
    <row r="186" spans="1:10" ht="21" customHeight="1" x14ac:dyDescent="0.25">
      <c r="A186" s="11"/>
      <c r="B186" s="12"/>
      <c r="C186" s="12"/>
      <c r="D186" s="12"/>
      <c r="E186" s="10"/>
      <c r="F186" s="11"/>
      <c r="G186" s="11"/>
      <c r="H186" s="13"/>
      <c r="I186" s="5"/>
      <c r="J186" s="11"/>
    </row>
    <row r="187" spans="1:10" ht="21" customHeight="1" x14ac:dyDescent="0.25">
      <c r="A187" s="11"/>
      <c r="B187" s="12"/>
      <c r="C187" s="12"/>
      <c r="D187" s="12"/>
      <c r="E187" s="10"/>
      <c r="F187" s="11"/>
      <c r="G187" s="11"/>
      <c r="H187" s="13"/>
      <c r="I187" s="5"/>
      <c r="J187" s="11"/>
    </row>
    <row r="188" spans="1:10" ht="21" customHeight="1" x14ac:dyDescent="0.25">
      <c r="A188" s="11"/>
      <c r="B188" s="12"/>
      <c r="C188" s="12"/>
      <c r="D188" s="12"/>
      <c r="E188" s="10"/>
      <c r="F188" s="11"/>
      <c r="G188" s="11"/>
      <c r="H188" s="13"/>
      <c r="I188" s="5"/>
      <c r="J188" s="11"/>
    </row>
    <row r="189" spans="1:10" ht="21" customHeight="1" x14ac:dyDescent="0.25">
      <c r="A189" s="11"/>
      <c r="B189" s="12"/>
      <c r="C189" s="12"/>
      <c r="D189" s="12"/>
      <c r="E189" s="10"/>
      <c r="F189" s="11"/>
      <c r="G189" s="11"/>
      <c r="H189" s="13"/>
      <c r="I189" s="5"/>
      <c r="J189" s="11"/>
    </row>
    <row r="190" spans="1:10" ht="21" customHeight="1" x14ac:dyDescent="0.25">
      <c r="A190" s="11"/>
      <c r="B190" s="12"/>
      <c r="C190" s="12"/>
      <c r="D190" s="12"/>
      <c r="E190" s="10"/>
      <c r="F190" s="11"/>
      <c r="G190" s="11"/>
      <c r="H190" s="13"/>
      <c r="I190" s="5"/>
      <c r="J190" s="11"/>
    </row>
    <row r="191" spans="1:10" ht="21" customHeight="1" x14ac:dyDescent="0.25">
      <c r="A191" s="11"/>
      <c r="B191" s="12"/>
      <c r="C191" s="12"/>
      <c r="D191" s="12"/>
      <c r="E191" s="10"/>
      <c r="F191" s="11"/>
      <c r="G191" s="11"/>
      <c r="H191" s="13"/>
      <c r="I191" s="5"/>
      <c r="J191" s="11"/>
    </row>
    <row r="192" spans="1:10" ht="21" customHeight="1" x14ac:dyDescent="0.25">
      <c r="A192" s="11"/>
      <c r="B192" s="12"/>
      <c r="C192" s="12"/>
      <c r="D192" s="12"/>
      <c r="E192" s="10"/>
      <c r="F192" s="11"/>
      <c r="G192" s="11"/>
      <c r="H192" s="13"/>
      <c r="I192" s="5"/>
      <c r="J192" s="11"/>
    </row>
    <row r="193" spans="1:10" ht="21" customHeight="1" x14ac:dyDescent="0.25">
      <c r="A193" s="11"/>
      <c r="B193" s="12"/>
      <c r="C193" s="12"/>
      <c r="D193" s="12"/>
      <c r="E193" s="10"/>
      <c r="F193" s="11"/>
      <c r="G193" s="11"/>
      <c r="H193" s="13"/>
      <c r="I193" s="5"/>
      <c r="J193" s="11"/>
    </row>
    <row r="194" spans="1:10" ht="21" customHeight="1" x14ac:dyDescent="0.25">
      <c r="A194" s="11"/>
      <c r="B194" s="12"/>
      <c r="C194" s="12"/>
      <c r="D194" s="12"/>
      <c r="E194" s="10"/>
      <c r="F194" s="11"/>
      <c r="G194" s="11"/>
      <c r="H194" s="13"/>
      <c r="I194" s="5"/>
      <c r="J194" s="11"/>
    </row>
    <row r="195" spans="1:10" ht="21" customHeight="1" x14ac:dyDescent="0.25">
      <c r="A195" s="11"/>
      <c r="B195" s="12"/>
      <c r="C195" s="12"/>
      <c r="D195" s="12"/>
      <c r="E195" s="10"/>
      <c r="F195" s="11"/>
      <c r="G195" s="11"/>
      <c r="H195" s="13"/>
      <c r="I195" s="5"/>
      <c r="J195" s="11"/>
    </row>
    <row r="196" spans="1:10" ht="21" customHeight="1" x14ac:dyDescent="0.25">
      <c r="A196" s="11"/>
      <c r="B196" s="12"/>
      <c r="C196" s="12"/>
      <c r="D196" s="12"/>
      <c r="E196" s="10"/>
      <c r="F196" s="11"/>
      <c r="G196" s="11"/>
      <c r="H196" s="13"/>
      <c r="I196" s="5"/>
      <c r="J196" s="11"/>
    </row>
    <row r="197" spans="1:10" ht="21" customHeight="1" x14ac:dyDescent="0.25">
      <c r="A197" s="11"/>
      <c r="B197" s="12"/>
      <c r="C197" s="12"/>
      <c r="D197" s="12"/>
      <c r="E197" s="10"/>
      <c r="F197" s="11"/>
      <c r="G197" s="11"/>
      <c r="H197" s="13"/>
      <c r="I197" s="5"/>
      <c r="J197" s="11"/>
    </row>
    <row r="198" spans="1:10" ht="21" customHeight="1" x14ac:dyDescent="0.25">
      <c r="A198" s="11"/>
      <c r="B198" s="12"/>
      <c r="C198" s="12"/>
      <c r="D198" s="12"/>
      <c r="E198" s="10"/>
      <c r="F198" s="11"/>
      <c r="G198" s="11"/>
      <c r="H198" s="13"/>
      <c r="I198" s="5"/>
      <c r="J198" s="11"/>
    </row>
    <row r="199" spans="1:10" ht="21" customHeight="1" x14ac:dyDescent="0.25">
      <c r="A199" s="11"/>
      <c r="B199" s="12"/>
      <c r="C199" s="12"/>
      <c r="D199" s="12"/>
      <c r="E199" s="10"/>
      <c r="F199" s="11"/>
      <c r="G199" s="11"/>
      <c r="H199" s="13"/>
      <c r="I199" s="5"/>
      <c r="J199" s="11"/>
    </row>
    <row r="200" spans="1:10" ht="21" customHeight="1" x14ac:dyDescent="0.25">
      <c r="A200" s="11"/>
      <c r="B200" s="12"/>
      <c r="C200" s="12"/>
      <c r="D200" s="12"/>
      <c r="E200" s="10"/>
      <c r="F200" s="11"/>
      <c r="G200" s="11"/>
      <c r="H200" s="13"/>
      <c r="I200" s="5"/>
      <c r="J200" s="11"/>
    </row>
    <row r="201" spans="1:10" ht="21" customHeight="1" x14ac:dyDescent="0.25">
      <c r="A201" s="11"/>
      <c r="B201" s="12"/>
      <c r="C201" s="12"/>
      <c r="D201" s="12"/>
      <c r="E201" s="10"/>
      <c r="F201" s="11"/>
      <c r="G201" s="11"/>
      <c r="H201" s="13"/>
      <c r="I201" s="5"/>
      <c r="J201" s="11"/>
    </row>
    <row r="202" spans="1:10" ht="21" customHeight="1" x14ac:dyDescent="0.25">
      <c r="A202" s="11"/>
      <c r="B202" s="12"/>
      <c r="C202" s="12"/>
      <c r="D202" s="12"/>
      <c r="E202" s="10"/>
      <c r="F202" s="11"/>
      <c r="G202" s="11"/>
      <c r="H202" s="13"/>
      <c r="I202" s="5"/>
      <c r="J202" s="11"/>
    </row>
    <row r="203" spans="1:10" ht="21" customHeight="1" x14ac:dyDescent="0.25">
      <c r="A203" s="11"/>
      <c r="B203" s="12"/>
      <c r="C203" s="12"/>
      <c r="D203" s="12"/>
      <c r="E203" s="10"/>
      <c r="F203" s="11"/>
      <c r="G203" s="11"/>
      <c r="H203" s="13"/>
      <c r="I203" s="5"/>
      <c r="J203" s="11"/>
    </row>
    <row r="204" spans="1:10" ht="21" customHeight="1" x14ac:dyDescent="0.25">
      <c r="A204" s="11"/>
      <c r="B204" s="12"/>
      <c r="C204" s="12"/>
      <c r="D204" s="12"/>
      <c r="E204" s="10"/>
      <c r="F204" s="11"/>
      <c r="G204" s="11"/>
      <c r="H204" s="13"/>
      <c r="I204" s="5"/>
      <c r="J204" s="11"/>
    </row>
    <row r="205" spans="1:10" ht="21" customHeight="1" x14ac:dyDescent="0.25">
      <c r="A205" s="11"/>
      <c r="B205" s="12"/>
      <c r="C205" s="12"/>
      <c r="D205" s="12"/>
      <c r="E205" s="10"/>
      <c r="F205" s="11"/>
      <c r="G205" s="11"/>
      <c r="H205" s="13"/>
      <c r="I205" s="5"/>
      <c r="J205" s="11"/>
    </row>
    <row r="206" spans="1:10" ht="21" customHeight="1" x14ac:dyDescent="0.25">
      <c r="A206" s="11"/>
      <c r="B206" s="12"/>
      <c r="C206" s="12"/>
      <c r="D206" s="12"/>
      <c r="E206" s="10"/>
      <c r="F206" s="11"/>
      <c r="G206" s="11"/>
      <c r="H206" s="13"/>
      <c r="I206" s="5"/>
      <c r="J206" s="11"/>
    </row>
    <row r="207" spans="1:10" ht="21" customHeight="1" x14ac:dyDescent="0.25">
      <c r="A207" s="11"/>
      <c r="B207" s="12"/>
      <c r="C207" s="12"/>
      <c r="D207" s="12"/>
      <c r="E207" s="10"/>
      <c r="F207" s="11"/>
      <c r="G207" s="11"/>
      <c r="H207" s="13"/>
      <c r="I207" s="5"/>
      <c r="J207" s="11"/>
    </row>
    <row r="208" spans="1:10" ht="21" customHeight="1" x14ac:dyDescent="0.25">
      <c r="A208" s="11"/>
      <c r="B208" s="12"/>
      <c r="C208" s="12"/>
      <c r="D208" s="12"/>
      <c r="E208" s="10"/>
      <c r="F208" s="11"/>
      <c r="G208" s="11"/>
      <c r="H208" s="13"/>
      <c r="I208" s="5"/>
      <c r="J208" s="11"/>
    </row>
    <row r="209" spans="1:10" ht="21" customHeight="1" x14ac:dyDescent="0.25">
      <c r="A209" s="11"/>
      <c r="B209" s="12"/>
      <c r="C209" s="12"/>
      <c r="D209" s="12"/>
      <c r="E209" s="10"/>
      <c r="F209" s="11"/>
      <c r="G209" s="11"/>
      <c r="H209" s="13"/>
      <c r="I209" s="5"/>
      <c r="J209" s="11"/>
    </row>
    <row r="210" spans="1:10" ht="21" customHeight="1" x14ac:dyDescent="0.25">
      <c r="A210" s="11"/>
      <c r="B210" s="12"/>
      <c r="C210" s="12"/>
      <c r="D210" s="12"/>
      <c r="E210" s="10"/>
      <c r="F210" s="11"/>
      <c r="G210" s="11"/>
      <c r="H210" s="13"/>
      <c r="I210" s="5"/>
      <c r="J210" s="11"/>
    </row>
    <row r="211" spans="1:10" ht="21" customHeight="1" x14ac:dyDescent="0.25">
      <c r="A211" s="11"/>
      <c r="B211" s="12"/>
      <c r="C211" s="12"/>
      <c r="D211" s="12"/>
      <c r="E211" s="10"/>
      <c r="F211" s="11"/>
      <c r="G211" s="11"/>
      <c r="H211" s="13"/>
      <c r="I211" s="5"/>
      <c r="J211" s="11"/>
    </row>
    <row r="212" spans="1:10" ht="21" customHeight="1" x14ac:dyDescent="0.25">
      <c r="A212" s="11"/>
      <c r="B212" s="12"/>
      <c r="C212" s="12"/>
      <c r="D212" s="12"/>
      <c r="E212" s="10"/>
      <c r="F212" s="11"/>
      <c r="G212" s="11"/>
      <c r="H212" s="13"/>
      <c r="I212" s="5"/>
      <c r="J212" s="11"/>
    </row>
    <row r="213" spans="1:10" ht="21" customHeight="1" x14ac:dyDescent="0.25">
      <c r="A213" s="11"/>
      <c r="B213" s="12"/>
      <c r="C213" s="12"/>
      <c r="D213" s="12"/>
      <c r="E213" s="10"/>
      <c r="F213" s="11"/>
      <c r="G213" s="11"/>
      <c r="H213" s="13"/>
      <c r="I213" s="5"/>
      <c r="J213" s="11"/>
    </row>
    <row r="214" spans="1:10" ht="21" customHeight="1" x14ac:dyDescent="0.25">
      <c r="A214" s="11"/>
      <c r="B214" s="12"/>
      <c r="C214" s="12"/>
      <c r="D214" s="12"/>
      <c r="E214" s="10"/>
      <c r="F214" s="11"/>
      <c r="G214" s="11"/>
      <c r="H214" s="13"/>
      <c r="I214" s="5"/>
      <c r="J214" s="11"/>
    </row>
    <row r="215" spans="1:10" ht="21" customHeight="1" x14ac:dyDescent="0.25">
      <c r="A215" s="11"/>
      <c r="B215" s="12"/>
      <c r="C215" s="12"/>
      <c r="D215" s="12"/>
      <c r="E215" s="10"/>
      <c r="F215" s="11"/>
      <c r="G215" s="11"/>
      <c r="H215" s="13"/>
      <c r="I215" s="5"/>
      <c r="J215" s="11"/>
    </row>
    <row r="216" spans="1:10" ht="21" customHeight="1" x14ac:dyDescent="0.25">
      <c r="A216" s="11"/>
      <c r="B216" s="12"/>
      <c r="C216" s="12"/>
      <c r="D216" s="12"/>
      <c r="E216" s="10"/>
      <c r="F216" s="11"/>
      <c r="G216" s="11"/>
      <c r="H216" s="13"/>
      <c r="I216" s="5"/>
      <c r="J216" s="11"/>
    </row>
    <row r="217" spans="1:10" ht="21" customHeight="1" x14ac:dyDescent="0.25">
      <c r="A217" s="11"/>
      <c r="B217" s="12"/>
      <c r="C217" s="12"/>
      <c r="D217" s="12"/>
      <c r="E217" s="10"/>
      <c r="F217" s="11"/>
      <c r="G217" s="11"/>
      <c r="H217" s="13"/>
      <c r="I217" s="5"/>
      <c r="J217" s="11"/>
    </row>
    <row r="218" spans="1:10" ht="21" customHeight="1" x14ac:dyDescent="0.25">
      <c r="A218" s="11"/>
      <c r="B218" s="12"/>
      <c r="C218" s="12"/>
      <c r="D218" s="12"/>
      <c r="E218" s="10"/>
      <c r="F218" s="11"/>
      <c r="G218" s="11"/>
      <c r="H218" s="13"/>
      <c r="I218" s="5"/>
      <c r="J218" s="11"/>
    </row>
    <row r="219" spans="1:10" ht="21" customHeight="1" x14ac:dyDescent="0.25">
      <c r="A219" s="11"/>
      <c r="B219" s="12"/>
      <c r="C219" s="12"/>
      <c r="D219" s="12"/>
      <c r="E219" s="10"/>
      <c r="F219" s="11"/>
      <c r="G219" s="11"/>
      <c r="H219" s="13"/>
      <c r="I219" s="5"/>
      <c r="J219" s="11"/>
    </row>
    <row r="220" spans="1:10" ht="21" customHeight="1" x14ac:dyDescent="0.25">
      <c r="A220" s="11"/>
      <c r="B220" s="12"/>
      <c r="C220" s="12"/>
      <c r="D220" s="12"/>
      <c r="E220" s="10"/>
      <c r="F220" s="11"/>
      <c r="G220" s="11"/>
      <c r="H220" s="13"/>
      <c r="I220" s="5"/>
      <c r="J220" s="11"/>
    </row>
    <row r="221" spans="1:10" ht="21" customHeight="1" x14ac:dyDescent="0.25">
      <c r="A221" s="11"/>
      <c r="B221" s="12"/>
      <c r="C221" s="12"/>
      <c r="D221" s="12"/>
      <c r="E221" s="10"/>
      <c r="F221" s="11"/>
      <c r="G221" s="11"/>
      <c r="H221" s="13"/>
      <c r="I221" s="5"/>
      <c r="J221" s="11"/>
    </row>
    <row r="222" spans="1:10" ht="21" customHeight="1" x14ac:dyDescent="0.25">
      <c r="A222" s="11"/>
      <c r="B222" s="12"/>
      <c r="C222" s="12"/>
      <c r="D222" s="12"/>
      <c r="E222" s="10"/>
      <c r="F222" s="11"/>
      <c r="G222" s="11"/>
      <c r="H222" s="13"/>
      <c r="I222" s="5"/>
      <c r="J222" s="11"/>
    </row>
    <row r="223" spans="1:10" ht="21" customHeight="1" x14ac:dyDescent="0.25">
      <c r="A223" s="11"/>
      <c r="B223" s="12"/>
      <c r="C223" s="12"/>
      <c r="D223" s="12"/>
      <c r="E223" s="10"/>
      <c r="F223" s="11"/>
      <c r="G223" s="11"/>
      <c r="H223" s="13"/>
      <c r="I223" s="5"/>
      <c r="J223" s="11"/>
    </row>
    <row r="224" spans="1:10" ht="21" customHeight="1" x14ac:dyDescent="0.25">
      <c r="A224" s="11"/>
      <c r="B224" s="12"/>
      <c r="C224" s="12"/>
      <c r="D224" s="12"/>
      <c r="E224" s="10"/>
      <c r="F224" s="11"/>
      <c r="G224" s="11"/>
      <c r="H224" s="13"/>
      <c r="I224" s="5"/>
      <c r="J224" s="11"/>
    </row>
    <row r="225" spans="1:10" ht="21" customHeight="1" x14ac:dyDescent="0.25">
      <c r="A225" s="11"/>
      <c r="B225" s="12"/>
      <c r="C225" s="12"/>
      <c r="D225" s="12"/>
      <c r="E225" s="10"/>
      <c r="F225" s="11"/>
      <c r="G225" s="11"/>
      <c r="H225" s="13"/>
      <c r="I225" s="5"/>
      <c r="J225" s="11"/>
    </row>
    <row r="226" spans="1:10" ht="21" customHeight="1" x14ac:dyDescent="0.25">
      <c r="A226" s="11"/>
      <c r="B226" s="12"/>
      <c r="C226" s="12"/>
      <c r="D226" s="12"/>
      <c r="E226" s="10"/>
      <c r="F226" s="11"/>
      <c r="G226" s="11"/>
      <c r="H226" s="13"/>
      <c r="I226" s="5"/>
      <c r="J226" s="11"/>
    </row>
    <row r="227" spans="1:10" ht="21" customHeight="1" x14ac:dyDescent="0.25">
      <c r="A227" s="11"/>
      <c r="B227" s="12"/>
      <c r="C227" s="12"/>
      <c r="D227" s="12"/>
      <c r="E227" s="10"/>
      <c r="F227" s="11"/>
      <c r="G227" s="11"/>
      <c r="H227" s="13"/>
      <c r="I227" s="5"/>
      <c r="J227" s="11"/>
    </row>
  </sheetData>
  <mergeCells count="6">
    <mergeCell ref="I1:J1"/>
    <mergeCell ref="A27:I27"/>
    <mergeCell ref="B1:H1"/>
    <mergeCell ref="B4:B5"/>
    <mergeCell ref="B24:B25"/>
    <mergeCell ref="B6:B23"/>
  </mergeCells>
  <printOptions horizontalCentered="1"/>
  <pageMargins left="0.25" right="0.25" top="0.25" bottom="0.25" header="0" footer="0"/>
  <pageSetup paperSize="9"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96B2-84E7-4ACD-BB01-134B65A6146F}">
  <sheetPr>
    <pageSetUpPr fitToPage="1"/>
  </sheetPr>
  <dimension ref="A1:O156"/>
  <sheetViews>
    <sheetView topLeftCell="A7" zoomScale="85" zoomScaleNormal="85" workbookViewId="0">
      <selection activeCell="E12" sqref="E12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18.7109375" style="1" customWidth="1"/>
    <col min="4" max="4" width="10.7109375" style="1" customWidth="1"/>
    <col min="5" max="5" width="51.5703125" style="1" customWidth="1"/>
    <col min="6" max="6" width="13.7109375" style="1" customWidth="1"/>
    <col min="7" max="10" width="12.7109375" style="1" customWidth="1"/>
    <col min="11" max="12" width="14.42578125" style="69"/>
    <col min="13" max="13" width="16.28515625" style="69" bestFit="1" customWidth="1"/>
    <col min="14" max="14" width="14.42578125" style="69"/>
    <col min="15" max="16384" width="14.42578125" style="1"/>
  </cols>
  <sheetData>
    <row r="1" spans="1:15" ht="21" customHeight="1" x14ac:dyDescent="0.25">
      <c r="A1" s="1" t="s">
        <v>0</v>
      </c>
      <c r="B1" s="176" t="s">
        <v>10</v>
      </c>
      <c r="C1" s="175"/>
      <c r="D1" s="175"/>
      <c r="E1" s="175"/>
      <c r="F1" s="175"/>
      <c r="G1" s="175"/>
      <c r="H1" s="175"/>
      <c r="I1" s="174">
        <f>Summary!D2</f>
        <v>46130</v>
      </c>
      <c r="J1" s="175"/>
    </row>
    <row r="2" spans="1:15" ht="21" customHeight="1" x14ac:dyDescent="0.25">
      <c r="A2" s="4"/>
      <c r="B2" s="2"/>
      <c r="C2" s="2"/>
      <c r="D2" s="2"/>
      <c r="E2" s="3"/>
      <c r="F2" s="3"/>
      <c r="G2" s="3"/>
      <c r="H2" s="13"/>
      <c r="I2" s="5"/>
    </row>
    <row r="3" spans="1:15" ht="42" customHeight="1" x14ac:dyDescent="0.25">
      <c r="A3" s="47" t="s">
        <v>30</v>
      </c>
      <c r="B3" s="6" t="s">
        <v>17</v>
      </c>
      <c r="C3" s="6" t="s">
        <v>18</v>
      </c>
      <c r="D3" s="6" t="s">
        <v>19</v>
      </c>
      <c r="E3" s="7" t="s">
        <v>20</v>
      </c>
      <c r="F3" s="8" t="s">
        <v>56</v>
      </c>
      <c r="G3" s="8" t="s">
        <v>21</v>
      </c>
      <c r="H3" s="6" t="s">
        <v>22</v>
      </c>
      <c r="I3" s="9" t="s">
        <v>23</v>
      </c>
      <c r="J3" s="6" t="s">
        <v>24</v>
      </c>
      <c r="K3" s="144"/>
      <c r="L3" s="4"/>
      <c r="M3" s="161"/>
      <c r="N3" s="4"/>
    </row>
    <row r="4" spans="1:15" ht="21" customHeight="1" x14ac:dyDescent="0.25">
      <c r="A4" s="30">
        <v>1</v>
      </c>
      <c r="B4" s="184" t="s">
        <v>25</v>
      </c>
      <c r="C4" s="119">
        <v>8888626140926</v>
      </c>
      <c r="D4" s="120">
        <v>520272</v>
      </c>
      <c r="E4" s="121" t="s">
        <v>73</v>
      </c>
      <c r="F4" s="122">
        <v>25</v>
      </c>
      <c r="G4" s="81">
        <v>4.05</v>
      </c>
      <c r="H4" s="81">
        <v>4.05</v>
      </c>
      <c r="I4" s="29">
        <v>250</v>
      </c>
      <c r="J4" s="14">
        <f>I4*H4</f>
        <v>1012.5</v>
      </c>
      <c r="K4" s="154"/>
      <c r="M4" s="105"/>
      <c r="O4" s="78"/>
    </row>
    <row r="5" spans="1:15" ht="42" customHeight="1" x14ac:dyDescent="0.25">
      <c r="A5" s="30">
        <v>2</v>
      </c>
      <c r="B5" s="182"/>
      <c r="C5" s="49" t="s">
        <v>248</v>
      </c>
      <c r="D5" s="79">
        <v>520183</v>
      </c>
      <c r="E5" s="50" t="s">
        <v>249</v>
      </c>
      <c r="F5" s="51">
        <v>120</v>
      </c>
      <c r="G5" s="27">
        <v>6.65</v>
      </c>
      <c r="H5" s="27">
        <v>6.65</v>
      </c>
      <c r="I5" s="29">
        <v>480</v>
      </c>
      <c r="J5" s="14">
        <f t="shared" ref="J5:J12" si="0">I5*H5</f>
        <v>3192</v>
      </c>
      <c r="K5" s="154"/>
      <c r="M5" s="105"/>
      <c r="O5" s="78"/>
    </row>
    <row r="6" spans="1:15" ht="21" customHeight="1" x14ac:dyDescent="0.25">
      <c r="A6" s="30">
        <v>3</v>
      </c>
      <c r="B6" s="191" t="s">
        <v>81</v>
      </c>
      <c r="C6" s="25">
        <v>8888626174662</v>
      </c>
      <c r="D6" s="35">
        <v>485938</v>
      </c>
      <c r="E6" s="62" t="s">
        <v>355</v>
      </c>
      <c r="F6" s="30">
        <v>12</v>
      </c>
      <c r="G6" s="27">
        <v>4.99</v>
      </c>
      <c r="H6" s="27">
        <v>4.99</v>
      </c>
      <c r="I6" s="28">
        <v>36</v>
      </c>
      <c r="J6" s="14">
        <f t="shared" si="0"/>
        <v>179.64000000000001</v>
      </c>
      <c r="K6" s="154"/>
      <c r="M6" s="105"/>
      <c r="O6" s="78"/>
    </row>
    <row r="7" spans="1:15" ht="21" customHeight="1" x14ac:dyDescent="0.25">
      <c r="A7" s="30">
        <v>4</v>
      </c>
      <c r="B7" s="191"/>
      <c r="C7" s="49">
        <v>8888626117683</v>
      </c>
      <c r="D7" s="79">
        <v>485012</v>
      </c>
      <c r="E7" s="50" t="s">
        <v>143</v>
      </c>
      <c r="F7" s="51">
        <v>24</v>
      </c>
      <c r="G7" s="34">
        <v>3.65</v>
      </c>
      <c r="H7" s="34">
        <v>3.65</v>
      </c>
      <c r="I7" s="28">
        <v>48</v>
      </c>
      <c r="J7" s="14">
        <f t="shared" si="0"/>
        <v>175.2</v>
      </c>
      <c r="K7" s="154"/>
      <c r="M7" s="105"/>
      <c r="O7" s="78"/>
    </row>
    <row r="8" spans="1:15" ht="21" customHeight="1" x14ac:dyDescent="0.25">
      <c r="A8" s="30">
        <v>5</v>
      </c>
      <c r="B8" s="191"/>
      <c r="C8" s="49">
        <v>8888626127927</v>
      </c>
      <c r="D8" s="79">
        <v>485067</v>
      </c>
      <c r="E8" s="50" t="s">
        <v>294</v>
      </c>
      <c r="F8" s="51">
        <v>12</v>
      </c>
      <c r="G8" s="34">
        <v>3.55</v>
      </c>
      <c r="H8" s="34">
        <v>3.55</v>
      </c>
      <c r="I8" s="28">
        <v>48</v>
      </c>
      <c r="J8" s="14">
        <f t="shared" si="0"/>
        <v>170.39999999999998</v>
      </c>
      <c r="K8" s="154"/>
      <c r="M8" s="105"/>
      <c r="O8" s="78"/>
    </row>
    <row r="9" spans="1:15" ht="21" customHeight="1" x14ac:dyDescent="0.25">
      <c r="A9" s="30">
        <v>6</v>
      </c>
      <c r="B9" s="191"/>
      <c r="C9" s="49">
        <v>8888626127934</v>
      </c>
      <c r="D9" s="79">
        <v>485068</v>
      </c>
      <c r="E9" s="50" t="s">
        <v>138</v>
      </c>
      <c r="F9" s="51">
        <v>12</v>
      </c>
      <c r="G9" s="34">
        <v>3.55</v>
      </c>
      <c r="H9" s="34">
        <v>3.55</v>
      </c>
      <c r="I9" s="28">
        <v>36</v>
      </c>
      <c r="J9" s="14">
        <f t="shared" si="0"/>
        <v>127.8</v>
      </c>
      <c r="K9" s="154"/>
      <c r="L9" s="1"/>
      <c r="M9" s="105"/>
      <c r="O9" s="78"/>
    </row>
    <row r="10" spans="1:15" ht="21" customHeight="1" x14ac:dyDescent="0.25">
      <c r="A10" s="30">
        <v>7</v>
      </c>
      <c r="B10" s="191"/>
      <c r="C10" s="49">
        <v>8888626150512</v>
      </c>
      <c r="D10" s="79">
        <v>485476</v>
      </c>
      <c r="E10" s="50" t="s">
        <v>213</v>
      </c>
      <c r="F10" s="51">
        <v>12</v>
      </c>
      <c r="G10" s="34">
        <v>4.5</v>
      </c>
      <c r="H10" s="34">
        <v>4.5</v>
      </c>
      <c r="I10" s="28">
        <v>36</v>
      </c>
      <c r="J10" s="14">
        <f t="shared" si="0"/>
        <v>162</v>
      </c>
      <c r="K10" s="154"/>
      <c r="M10" s="105"/>
      <c r="O10" s="78"/>
    </row>
    <row r="11" spans="1:15" ht="21" customHeight="1" x14ac:dyDescent="0.25">
      <c r="A11" s="30">
        <v>8</v>
      </c>
      <c r="B11" s="157" t="s">
        <v>396</v>
      </c>
      <c r="C11" s="162" t="s">
        <v>353</v>
      </c>
      <c r="D11" s="155">
        <v>484893</v>
      </c>
      <c r="E11" s="163" t="s">
        <v>354</v>
      </c>
      <c r="F11" s="164">
        <v>1</v>
      </c>
      <c r="G11" s="165">
        <v>2.2999999999999998</v>
      </c>
      <c r="H11" s="165">
        <v>2.2999999999999998</v>
      </c>
      <c r="I11" s="58">
        <v>30</v>
      </c>
      <c r="J11" s="70">
        <f t="shared" si="0"/>
        <v>69</v>
      </c>
      <c r="K11" s="154"/>
      <c r="M11" s="105"/>
      <c r="O11" s="78"/>
    </row>
    <row r="12" spans="1:15" ht="21" customHeight="1" x14ac:dyDescent="0.25">
      <c r="A12" s="30">
        <v>9</v>
      </c>
      <c r="B12" s="193" t="s">
        <v>83</v>
      </c>
      <c r="C12" s="54" t="s">
        <v>77</v>
      </c>
      <c r="D12" s="54">
        <v>484891</v>
      </c>
      <c r="E12" s="55" t="s">
        <v>79</v>
      </c>
      <c r="F12" s="56">
        <v>1</v>
      </c>
      <c r="G12" s="65">
        <v>2.5</v>
      </c>
      <c r="H12" s="65">
        <v>2.5</v>
      </c>
      <c r="I12" s="58">
        <v>50</v>
      </c>
      <c r="J12" s="70">
        <f t="shared" si="0"/>
        <v>125</v>
      </c>
      <c r="K12" s="154"/>
      <c r="M12" s="105"/>
      <c r="O12" s="78"/>
    </row>
    <row r="13" spans="1:15" ht="21" customHeight="1" x14ac:dyDescent="0.25">
      <c r="A13" s="30">
        <v>10</v>
      </c>
      <c r="B13" s="194"/>
      <c r="C13" s="54" t="s">
        <v>78</v>
      </c>
      <c r="D13" s="54">
        <v>484890</v>
      </c>
      <c r="E13" s="55" t="s">
        <v>80</v>
      </c>
      <c r="F13" s="56">
        <v>1</v>
      </c>
      <c r="G13" s="65">
        <v>2.95</v>
      </c>
      <c r="H13" s="65">
        <v>2.95</v>
      </c>
      <c r="I13" s="58">
        <v>50</v>
      </c>
      <c r="J13" s="70">
        <f>I13*H13</f>
        <v>147.5</v>
      </c>
      <c r="K13" s="154"/>
      <c r="M13" s="105"/>
      <c r="O13" s="78"/>
    </row>
    <row r="14" spans="1:15" ht="21" customHeight="1" x14ac:dyDescent="0.25">
      <c r="A14" s="30">
        <v>11</v>
      </c>
      <c r="B14" s="185" t="s">
        <v>123</v>
      </c>
      <c r="C14" s="25" t="s">
        <v>38</v>
      </c>
      <c r="D14" s="35">
        <v>662200</v>
      </c>
      <c r="E14" s="62" t="s">
        <v>121</v>
      </c>
      <c r="F14" s="110">
        <v>10</v>
      </c>
      <c r="G14" s="27">
        <v>1.75</v>
      </c>
      <c r="H14" s="27">
        <v>1.75</v>
      </c>
      <c r="I14" s="28">
        <v>30</v>
      </c>
      <c r="J14" s="14">
        <f t="shared" ref="J14:J29" si="1">I14*H14</f>
        <v>52.5</v>
      </c>
      <c r="K14" s="154"/>
      <c r="M14" s="105"/>
      <c r="O14" s="78"/>
    </row>
    <row r="15" spans="1:15" ht="21" customHeight="1" x14ac:dyDescent="0.25">
      <c r="A15" s="30">
        <v>12</v>
      </c>
      <c r="B15" s="192"/>
      <c r="C15" s="25" t="s">
        <v>39</v>
      </c>
      <c r="D15" s="35">
        <v>661657</v>
      </c>
      <c r="E15" s="62" t="s">
        <v>122</v>
      </c>
      <c r="F15" s="110">
        <v>10</v>
      </c>
      <c r="G15" s="27">
        <v>1.05</v>
      </c>
      <c r="H15" s="27">
        <v>1.05</v>
      </c>
      <c r="I15" s="148">
        <f>130+100</f>
        <v>230</v>
      </c>
      <c r="J15" s="14">
        <f t="shared" si="1"/>
        <v>241.5</v>
      </c>
      <c r="K15" s="154"/>
      <c r="M15" s="105"/>
      <c r="O15" s="78"/>
    </row>
    <row r="16" spans="1:15" ht="21" customHeight="1" x14ac:dyDescent="0.25">
      <c r="A16" s="30">
        <v>13</v>
      </c>
      <c r="B16" s="192"/>
      <c r="C16" s="25">
        <v>8888626158747</v>
      </c>
      <c r="D16" s="35">
        <v>663324</v>
      </c>
      <c r="E16" s="62" t="s">
        <v>356</v>
      </c>
      <c r="F16" s="110">
        <v>10</v>
      </c>
      <c r="G16" s="27">
        <v>2.6</v>
      </c>
      <c r="H16" s="27">
        <v>2.6</v>
      </c>
      <c r="I16" s="28">
        <v>60</v>
      </c>
      <c r="J16" s="14">
        <f t="shared" si="1"/>
        <v>156</v>
      </c>
      <c r="K16" s="154"/>
      <c r="M16" s="105"/>
      <c r="O16" s="78"/>
    </row>
    <row r="17" spans="1:15" ht="21" customHeight="1" x14ac:dyDescent="0.25">
      <c r="A17" s="30">
        <v>14</v>
      </c>
      <c r="B17" s="186"/>
      <c r="C17" s="25">
        <v>8888626102290</v>
      </c>
      <c r="D17" s="35">
        <v>662248</v>
      </c>
      <c r="E17" s="62" t="s">
        <v>310</v>
      </c>
      <c r="F17" s="110">
        <v>16</v>
      </c>
      <c r="G17" s="27">
        <v>1.25</v>
      </c>
      <c r="H17" s="27">
        <v>1.25</v>
      </c>
      <c r="I17" s="28">
        <v>32</v>
      </c>
      <c r="J17" s="14">
        <f t="shared" si="1"/>
        <v>40</v>
      </c>
      <c r="K17" s="154"/>
      <c r="M17" s="105"/>
      <c r="O17" s="78"/>
    </row>
    <row r="18" spans="1:15" ht="21" customHeight="1" x14ac:dyDescent="0.25">
      <c r="A18" s="30">
        <v>15</v>
      </c>
      <c r="B18" s="180" t="s">
        <v>158</v>
      </c>
      <c r="C18" s="25" t="s">
        <v>208</v>
      </c>
      <c r="D18" s="35">
        <v>344180</v>
      </c>
      <c r="E18" s="62" t="s">
        <v>209</v>
      </c>
      <c r="F18" s="30">
        <v>5</v>
      </c>
      <c r="G18" s="27">
        <v>10.85</v>
      </c>
      <c r="H18" s="27">
        <v>10.85</v>
      </c>
      <c r="I18" s="30">
        <v>30</v>
      </c>
      <c r="J18" s="14">
        <f t="shared" si="1"/>
        <v>325.5</v>
      </c>
      <c r="K18" s="154"/>
      <c r="M18" s="105"/>
      <c r="O18" s="78"/>
    </row>
    <row r="19" spans="1:15" ht="21" customHeight="1" x14ac:dyDescent="0.25">
      <c r="A19" s="30">
        <v>16</v>
      </c>
      <c r="B19" s="181"/>
      <c r="C19" s="25">
        <v>8888626014784</v>
      </c>
      <c r="D19" s="35">
        <v>105663</v>
      </c>
      <c r="E19" s="62" t="s">
        <v>250</v>
      </c>
      <c r="F19" s="30">
        <v>12</v>
      </c>
      <c r="G19" s="27">
        <v>1.98</v>
      </c>
      <c r="H19" s="27">
        <v>1.98</v>
      </c>
      <c r="I19" s="30">
        <v>60</v>
      </c>
      <c r="J19" s="14">
        <f t="shared" si="1"/>
        <v>118.8</v>
      </c>
      <c r="K19" s="154"/>
      <c r="M19" s="105"/>
      <c r="O19" s="78"/>
    </row>
    <row r="20" spans="1:15" ht="21" customHeight="1" x14ac:dyDescent="0.25">
      <c r="A20" s="30">
        <v>17</v>
      </c>
      <c r="B20" s="181"/>
      <c r="C20" s="25">
        <v>8886303210207</v>
      </c>
      <c r="D20" s="35">
        <v>101086</v>
      </c>
      <c r="E20" s="62" t="s">
        <v>251</v>
      </c>
      <c r="F20" s="30">
        <v>30</v>
      </c>
      <c r="G20" s="27">
        <v>1.2</v>
      </c>
      <c r="H20" s="27">
        <v>1.2</v>
      </c>
      <c r="I20" s="30">
        <v>600</v>
      </c>
      <c r="J20" s="14">
        <f t="shared" si="1"/>
        <v>720</v>
      </c>
      <c r="K20" s="154"/>
      <c r="M20" s="105"/>
      <c r="O20" s="78"/>
    </row>
    <row r="21" spans="1:15" ht="21" customHeight="1" x14ac:dyDescent="0.25">
      <c r="A21" s="30">
        <v>18</v>
      </c>
      <c r="B21" s="182"/>
      <c r="C21" s="25">
        <v>8888626094021</v>
      </c>
      <c r="D21" s="35">
        <v>344407</v>
      </c>
      <c r="E21" s="62" t="s">
        <v>60</v>
      </c>
      <c r="F21" s="30">
        <v>10</v>
      </c>
      <c r="G21" s="27">
        <v>3.8</v>
      </c>
      <c r="H21" s="27">
        <v>3.8</v>
      </c>
      <c r="I21" s="29">
        <v>130</v>
      </c>
      <c r="J21" s="14">
        <f t="shared" si="1"/>
        <v>494</v>
      </c>
      <c r="K21" s="154"/>
      <c r="M21" s="105"/>
      <c r="O21" s="78"/>
    </row>
    <row r="22" spans="1:15" ht="21" customHeight="1" x14ac:dyDescent="0.25">
      <c r="A22" s="30">
        <v>19</v>
      </c>
      <c r="B22" s="185" t="s">
        <v>254</v>
      </c>
      <c r="C22" s="25">
        <v>8888626141176</v>
      </c>
      <c r="D22" s="35">
        <v>662763</v>
      </c>
      <c r="E22" s="62" t="s">
        <v>163</v>
      </c>
      <c r="F22" s="110">
        <v>30</v>
      </c>
      <c r="G22" s="27">
        <v>0.9</v>
      </c>
      <c r="H22" s="27">
        <v>0.9</v>
      </c>
      <c r="I22" s="29">
        <v>90</v>
      </c>
      <c r="J22" s="14">
        <f t="shared" si="1"/>
        <v>81</v>
      </c>
      <c r="K22" s="154"/>
      <c r="M22" s="105"/>
      <c r="O22" s="78"/>
    </row>
    <row r="23" spans="1:15" ht="21" customHeight="1" x14ac:dyDescent="0.25">
      <c r="A23" s="30">
        <v>20</v>
      </c>
      <c r="B23" s="192"/>
      <c r="C23" s="25">
        <v>8888626143637</v>
      </c>
      <c r="D23" s="35">
        <v>662813</v>
      </c>
      <c r="E23" s="62" t="s">
        <v>91</v>
      </c>
      <c r="F23" s="110">
        <v>12</v>
      </c>
      <c r="G23" s="27">
        <v>4.2</v>
      </c>
      <c r="H23" s="27">
        <v>4.2</v>
      </c>
      <c r="I23" s="29">
        <v>36</v>
      </c>
      <c r="J23" s="14">
        <f t="shared" si="1"/>
        <v>151.20000000000002</v>
      </c>
      <c r="K23" s="154"/>
      <c r="M23" s="105"/>
      <c r="O23" s="78"/>
    </row>
    <row r="24" spans="1:15" ht="21" customHeight="1" x14ac:dyDescent="0.25">
      <c r="A24" s="30">
        <v>21</v>
      </c>
      <c r="B24" s="192"/>
      <c r="C24" s="25">
        <v>8888626143613</v>
      </c>
      <c r="D24" s="35">
        <v>662814</v>
      </c>
      <c r="E24" s="62" t="s">
        <v>92</v>
      </c>
      <c r="F24" s="110">
        <v>12</v>
      </c>
      <c r="G24" s="27">
        <v>4.2</v>
      </c>
      <c r="H24" s="27">
        <v>4.2</v>
      </c>
      <c r="I24" s="29">
        <v>48</v>
      </c>
      <c r="J24" s="14">
        <f t="shared" si="1"/>
        <v>201.60000000000002</v>
      </c>
      <c r="K24" s="154"/>
      <c r="M24" s="105"/>
      <c r="O24" s="78"/>
    </row>
    <row r="25" spans="1:15" ht="21" customHeight="1" x14ac:dyDescent="0.25">
      <c r="A25" s="30">
        <v>22</v>
      </c>
      <c r="B25" s="192"/>
      <c r="C25" s="25">
        <v>8888626167435</v>
      </c>
      <c r="D25" s="35">
        <v>663113</v>
      </c>
      <c r="E25" s="62" t="s">
        <v>252</v>
      </c>
      <c r="F25" s="110">
        <v>6</v>
      </c>
      <c r="G25" s="27">
        <v>1.7</v>
      </c>
      <c r="H25" s="27">
        <v>1.7</v>
      </c>
      <c r="I25" s="149">
        <f>70+32</f>
        <v>102</v>
      </c>
      <c r="J25" s="14">
        <f t="shared" si="1"/>
        <v>173.4</v>
      </c>
      <c r="K25" s="154"/>
      <c r="M25" s="105"/>
      <c r="O25" s="78"/>
    </row>
    <row r="26" spans="1:15" ht="21" customHeight="1" x14ac:dyDescent="0.25">
      <c r="A26" s="30">
        <v>23</v>
      </c>
      <c r="B26" s="192"/>
      <c r="C26" s="25">
        <v>8888626167428</v>
      </c>
      <c r="D26" s="35">
        <v>663115</v>
      </c>
      <c r="E26" s="62" t="s">
        <v>210</v>
      </c>
      <c r="F26" s="110">
        <v>6</v>
      </c>
      <c r="G26" s="27">
        <v>1.7</v>
      </c>
      <c r="H26" s="27">
        <v>1.7</v>
      </c>
      <c r="I26" s="28">
        <v>42</v>
      </c>
      <c r="J26" s="14">
        <f t="shared" si="1"/>
        <v>71.399999999999991</v>
      </c>
      <c r="K26" s="154"/>
      <c r="M26" s="105"/>
      <c r="O26" s="78"/>
    </row>
    <row r="27" spans="1:15" ht="21" customHeight="1" x14ac:dyDescent="0.25">
      <c r="A27" s="30">
        <v>24</v>
      </c>
      <c r="B27" s="192"/>
      <c r="C27" s="25">
        <v>8888626167442</v>
      </c>
      <c r="D27" s="35">
        <v>663114</v>
      </c>
      <c r="E27" s="62" t="s">
        <v>269</v>
      </c>
      <c r="F27" s="110">
        <v>6</v>
      </c>
      <c r="G27" s="27">
        <v>1.7</v>
      </c>
      <c r="H27" s="27">
        <v>1.7</v>
      </c>
      <c r="I27" s="28">
        <v>42</v>
      </c>
      <c r="J27" s="14">
        <f t="shared" si="1"/>
        <v>71.399999999999991</v>
      </c>
      <c r="K27" s="154"/>
      <c r="M27" s="105"/>
      <c r="O27" s="78"/>
    </row>
    <row r="28" spans="1:15" ht="21" customHeight="1" x14ac:dyDescent="0.25">
      <c r="A28" s="30">
        <v>25</v>
      </c>
      <c r="B28" s="192"/>
      <c r="C28" s="25" t="s">
        <v>40</v>
      </c>
      <c r="D28" s="35">
        <v>661987</v>
      </c>
      <c r="E28" s="62" t="s">
        <v>120</v>
      </c>
      <c r="F28" s="110">
        <v>10</v>
      </c>
      <c r="G28" s="27">
        <v>2.2999999999999998</v>
      </c>
      <c r="H28" s="27">
        <v>2.2999999999999998</v>
      </c>
      <c r="I28" s="28">
        <v>80</v>
      </c>
      <c r="J28" s="14">
        <f t="shared" si="1"/>
        <v>184</v>
      </c>
      <c r="K28" s="154"/>
      <c r="M28" s="105"/>
      <c r="O28" s="78"/>
    </row>
    <row r="29" spans="1:15" ht="21" customHeight="1" x14ac:dyDescent="0.25">
      <c r="A29" s="30">
        <v>26</v>
      </c>
      <c r="B29" s="186"/>
      <c r="C29" s="25">
        <v>8888626117768</v>
      </c>
      <c r="D29" s="35">
        <v>662386</v>
      </c>
      <c r="E29" s="62" t="s">
        <v>54</v>
      </c>
      <c r="F29" s="110">
        <v>20</v>
      </c>
      <c r="G29" s="27">
        <v>1.95</v>
      </c>
      <c r="H29" s="27">
        <v>1.95</v>
      </c>
      <c r="I29" s="35">
        <v>80</v>
      </c>
      <c r="J29" s="14">
        <f t="shared" si="1"/>
        <v>156</v>
      </c>
      <c r="K29" s="154"/>
      <c r="M29" s="105"/>
      <c r="O29" s="78"/>
    </row>
    <row r="30" spans="1:15" ht="21" customHeight="1" x14ac:dyDescent="0.25">
      <c r="A30" s="171" t="s">
        <v>16</v>
      </c>
      <c r="B30" s="183"/>
      <c r="C30" s="183"/>
      <c r="D30" s="183"/>
      <c r="E30" s="183"/>
      <c r="F30" s="190"/>
      <c r="G30" s="190"/>
      <c r="H30" s="190"/>
      <c r="I30" s="168"/>
      <c r="J30" s="15">
        <f>SUM(J4:J29)</f>
        <v>8599.34</v>
      </c>
      <c r="M30" s="105"/>
      <c r="O30" s="78"/>
    </row>
    <row r="31" spans="1:15" ht="21" customHeight="1" x14ac:dyDescent="0.25">
      <c r="A31" s="11"/>
      <c r="B31" s="12"/>
      <c r="C31" s="12"/>
      <c r="D31" s="12"/>
      <c r="E31" s="10"/>
      <c r="F31" s="10"/>
      <c r="G31" s="10"/>
      <c r="H31" s="13"/>
      <c r="I31" s="5"/>
      <c r="J31" s="10"/>
      <c r="M31" s="105"/>
      <c r="O31" s="78"/>
    </row>
    <row r="32" spans="1:15" ht="21" customHeight="1" x14ac:dyDescent="0.25">
      <c r="A32" s="11"/>
      <c r="B32" s="12"/>
      <c r="C32" s="12"/>
      <c r="D32" s="12"/>
      <c r="E32" s="10"/>
      <c r="F32" s="10"/>
      <c r="G32" s="77"/>
      <c r="H32" s="77"/>
      <c r="I32" s="5"/>
      <c r="J32" s="10"/>
      <c r="M32" s="105"/>
      <c r="O32" s="78"/>
    </row>
    <row r="33" spans="1:10" ht="21" customHeight="1" x14ac:dyDescent="0.25">
      <c r="A33" s="11"/>
      <c r="B33" s="12"/>
      <c r="C33" s="12"/>
      <c r="D33" s="12"/>
      <c r="E33" s="10"/>
      <c r="F33" s="10"/>
      <c r="G33" s="10"/>
      <c r="H33" s="13"/>
      <c r="I33" s="5"/>
      <c r="J33" s="10"/>
    </row>
    <row r="34" spans="1:10" ht="21" customHeight="1" x14ac:dyDescent="0.25">
      <c r="A34" s="11"/>
      <c r="B34" s="12"/>
      <c r="C34" s="12"/>
      <c r="D34" s="12"/>
      <c r="E34" s="10"/>
      <c r="F34" s="10"/>
      <c r="G34" s="10"/>
      <c r="H34" s="13"/>
      <c r="I34" s="5"/>
      <c r="J34" s="10"/>
    </row>
    <row r="35" spans="1:10" ht="21" customHeight="1" x14ac:dyDescent="0.25">
      <c r="A35" s="11"/>
      <c r="B35" s="12"/>
      <c r="C35" s="12"/>
      <c r="D35" s="12"/>
      <c r="E35" s="10"/>
      <c r="F35" s="10"/>
      <c r="G35" s="10"/>
      <c r="H35" s="13"/>
      <c r="I35" s="5"/>
      <c r="J35" s="10"/>
    </row>
    <row r="36" spans="1:10" ht="21" customHeight="1" x14ac:dyDescent="0.25">
      <c r="A36" s="11"/>
      <c r="B36" s="12"/>
      <c r="C36" s="12"/>
      <c r="D36" s="12"/>
      <c r="E36" s="10"/>
      <c r="F36" s="10"/>
      <c r="G36" s="10"/>
      <c r="H36" s="13"/>
      <c r="I36" s="5"/>
      <c r="J36" s="10"/>
    </row>
    <row r="37" spans="1:10" ht="21" customHeight="1" x14ac:dyDescent="0.25">
      <c r="A37" s="11"/>
      <c r="B37" s="12"/>
      <c r="C37" s="12"/>
      <c r="D37" s="12"/>
      <c r="E37" s="10"/>
      <c r="F37" s="10"/>
      <c r="G37" s="10"/>
      <c r="H37" s="13"/>
      <c r="I37" s="5"/>
      <c r="J37" s="10"/>
    </row>
    <row r="38" spans="1:10" ht="21" customHeight="1" x14ac:dyDescent="0.25">
      <c r="A38" s="11"/>
      <c r="B38" s="12"/>
      <c r="C38" s="12"/>
      <c r="D38" s="12"/>
      <c r="E38" s="10"/>
      <c r="F38" s="10"/>
      <c r="G38" s="10"/>
      <c r="H38" s="13"/>
      <c r="I38" s="5"/>
      <c r="J38" s="10"/>
    </row>
    <row r="39" spans="1:10" ht="21" customHeight="1" x14ac:dyDescent="0.25">
      <c r="A39" s="11"/>
      <c r="B39" s="12"/>
      <c r="C39" s="12"/>
      <c r="D39" s="12"/>
      <c r="E39" s="10"/>
      <c r="F39" s="10"/>
      <c r="G39" s="10"/>
      <c r="H39" s="13"/>
      <c r="I39" s="5"/>
      <c r="J39" s="10"/>
    </row>
    <row r="40" spans="1:10" ht="21" customHeight="1" x14ac:dyDescent="0.25">
      <c r="A40" s="11"/>
      <c r="B40" s="12"/>
      <c r="C40" s="12"/>
      <c r="D40" s="12"/>
      <c r="E40" s="10"/>
      <c r="F40" s="10"/>
      <c r="G40" s="10"/>
      <c r="H40" s="13"/>
      <c r="I40" s="5"/>
      <c r="J40" s="10"/>
    </row>
    <row r="41" spans="1:10" ht="21" customHeight="1" x14ac:dyDescent="0.25">
      <c r="A41" s="11"/>
      <c r="B41" s="12"/>
      <c r="C41" s="12"/>
      <c r="D41" s="12"/>
      <c r="E41" s="10"/>
      <c r="F41" s="10"/>
      <c r="G41" s="10"/>
      <c r="H41" s="13"/>
      <c r="I41" s="5"/>
      <c r="J41" s="10"/>
    </row>
    <row r="42" spans="1:10" ht="21" customHeight="1" x14ac:dyDescent="0.25">
      <c r="A42" s="11"/>
      <c r="B42" s="12"/>
      <c r="C42" s="12"/>
      <c r="D42" s="12"/>
      <c r="E42" s="10"/>
      <c r="F42" s="10"/>
      <c r="G42" s="10"/>
      <c r="H42" s="13"/>
      <c r="I42" s="5"/>
      <c r="J42" s="10"/>
    </row>
    <row r="43" spans="1:10" ht="21" customHeight="1" x14ac:dyDescent="0.25">
      <c r="A43" s="11"/>
      <c r="B43" s="12"/>
      <c r="C43" s="12"/>
      <c r="D43" s="12"/>
      <c r="E43" s="10"/>
      <c r="F43" s="10"/>
      <c r="G43" s="10"/>
      <c r="H43" s="13"/>
      <c r="I43" s="5"/>
      <c r="J43" s="10"/>
    </row>
    <row r="44" spans="1:10" ht="21" customHeight="1" x14ac:dyDescent="0.25">
      <c r="A44" s="11"/>
      <c r="B44" s="12"/>
      <c r="C44" s="12"/>
      <c r="D44" s="12"/>
      <c r="E44" s="10"/>
      <c r="F44" s="10"/>
      <c r="G44" s="10"/>
      <c r="H44" s="13"/>
      <c r="I44" s="5"/>
      <c r="J44" s="10"/>
    </row>
    <row r="45" spans="1:10" ht="21" customHeight="1" x14ac:dyDescent="0.25">
      <c r="A45" s="11"/>
      <c r="B45" s="12"/>
      <c r="C45" s="12"/>
      <c r="D45" s="12"/>
      <c r="E45" s="10"/>
      <c r="F45" s="10"/>
      <c r="G45" s="10"/>
      <c r="H45" s="13"/>
      <c r="I45" s="5"/>
      <c r="J45" s="10"/>
    </row>
    <row r="46" spans="1:10" ht="21" customHeight="1" x14ac:dyDescent="0.25">
      <c r="A46" s="11"/>
      <c r="B46" s="12"/>
      <c r="C46" s="12"/>
      <c r="D46" s="12"/>
      <c r="E46" s="10"/>
      <c r="F46" s="10"/>
      <c r="G46" s="10"/>
      <c r="H46" s="13"/>
      <c r="I46" s="5"/>
      <c r="J46" s="10"/>
    </row>
    <row r="47" spans="1:10" ht="21" customHeight="1" x14ac:dyDescent="0.25">
      <c r="A47" s="11"/>
      <c r="B47" s="12"/>
      <c r="C47" s="12"/>
      <c r="D47" s="12"/>
      <c r="E47" s="10"/>
      <c r="F47" s="10"/>
      <c r="G47" s="10"/>
      <c r="H47" s="13"/>
      <c r="I47" s="5"/>
      <c r="J47" s="10"/>
    </row>
    <row r="48" spans="1:10" ht="21" customHeight="1" x14ac:dyDescent="0.25">
      <c r="A48" s="11"/>
      <c r="B48" s="12"/>
      <c r="C48" s="12"/>
      <c r="D48" s="12"/>
      <c r="E48" s="10"/>
      <c r="F48" s="10"/>
      <c r="G48" s="10"/>
      <c r="H48" s="13"/>
      <c r="I48" s="5"/>
      <c r="J48" s="10"/>
    </row>
    <row r="49" spans="1:10" ht="21" customHeight="1" x14ac:dyDescent="0.25">
      <c r="A49" s="11"/>
      <c r="B49" s="12"/>
      <c r="C49" s="12"/>
      <c r="D49" s="12"/>
      <c r="E49" s="10"/>
      <c r="F49" s="10"/>
      <c r="G49" s="10"/>
      <c r="H49" s="13"/>
      <c r="I49" s="5"/>
      <c r="J49" s="10"/>
    </row>
    <row r="50" spans="1:10" ht="21" customHeight="1" x14ac:dyDescent="0.25">
      <c r="A50" s="11"/>
      <c r="B50" s="12"/>
      <c r="C50" s="12"/>
      <c r="D50" s="12"/>
      <c r="E50" s="10"/>
      <c r="F50" s="10"/>
      <c r="G50" s="10"/>
      <c r="H50" s="13"/>
      <c r="I50" s="5"/>
      <c r="J50" s="10"/>
    </row>
    <row r="51" spans="1:10" ht="21" customHeight="1" x14ac:dyDescent="0.25">
      <c r="A51" s="11"/>
      <c r="B51" s="12"/>
      <c r="C51" s="12"/>
      <c r="D51" s="12"/>
      <c r="E51" s="10"/>
      <c r="F51" s="10"/>
      <c r="G51" s="10"/>
      <c r="H51" s="13"/>
      <c r="I51" s="5"/>
      <c r="J51" s="10"/>
    </row>
    <row r="52" spans="1:10" ht="21" customHeight="1" x14ac:dyDescent="0.25">
      <c r="A52" s="11"/>
      <c r="B52" s="12"/>
      <c r="C52" s="12"/>
      <c r="D52" s="12"/>
      <c r="E52" s="10"/>
      <c r="F52" s="10"/>
      <c r="G52" s="10"/>
      <c r="H52" s="13"/>
      <c r="I52" s="5"/>
      <c r="J52" s="10"/>
    </row>
    <row r="53" spans="1:10" ht="21" customHeight="1" x14ac:dyDescent="0.25">
      <c r="A53" s="11"/>
      <c r="B53" s="12"/>
      <c r="C53" s="12"/>
      <c r="D53" s="12"/>
      <c r="E53" s="10"/>
      <c r="F53" s="10"/>
      <c r="G53" s="10"/>
      <c r="H53" s="13"/>
      <c r="I53" s="5"/>
      <c r="J53" s="10"/>
    </row>
    <row r="54" spans="1:10" ht="21" customHeight="1" x14ac:dyDescent="0.25">
      <c r="A54" s="11"/>
      <c r="B54" s="12"/>
      <c r="C54" s="12"/>
      <c r="D54" s="12"/>
      <c r="E54" s="10"/>
      <c r="F54" s="10"/>
      <c r="G54" s="10"/>
      <c r="H54" s="13"/>
      <c r="I54" s="5"/>
      <c r="J54" s="10"/>
    </row>
    <row r="55" spans="1:10" ht="21" customHeight="1" x14ac:dyDescent="0.25">
      <c r="A55" s="11"/>
      <c r="B55" s="12"/>
      <c r="C55" s="12"/>
      <c r="D55" s="12"/>
      <c r="E55" s="10"/>
      <c r="F55" s="10"/>
      <c r="G55" s="10"/>
      <c r="H55" s="13"/>
      <c r="I55" s="5"/>
      <c r="J55" s="10"/>
    </row>
    <row r="56" spans="1:10" ht="21" customHeight="1" x14ac:dyDescent="0.25">
      <c r="A56" s="11"/>
      <c r="B56" s="12"/>
      <c r="C56" s="12"/>
      <c r="D56" s="12"/>
      <c r="E56" s="10"/>
      <c r="F56" s="10"/>
      <c r="G56" s="10"/>
      <c r="H56" s="13"/>
      <c r="I56" s="5"/>
      <c r="J56" s="10"/>
    </row>
    <row r="57" spans="1:10" ht="21" customHeight="1" x14ac:dyDescent="0.25">
      <c r="A57" s="11"/>
      <c r="B57" s="12"/>
      <c r="C57" s="12"/>
      <c r="D57" s="12"/>
      <c r="E57" s="10"/>
      <c r="F57" s="10"/>
      <c r="G57" s="10"/>
      <c r="H57" s="13"/>
      <c r="I57" s="5"/>
      <c r="J57" s="10"/>
    </row>
    <row r="58" spans="1:10" ht="21" customHeight="1" x14ac:dyDescent="0.25">
      <c r="A58" s="11"/>
      <c r="B58" s="12"/>
      <c r="C58" s="12"/>
      <c r="D58" s="12"/>
      <c r="E58" s="10"/>
      <c r="F58" s="10"/>
      <c r="G58" s="10"/>
      <c r="H58" s="13"/>
      <c r="I58" s="5"/>
      <c r="J58" s="10"/>
    </row>
    <row r="59" spans="1:10" ht="21" customHeight="1" x14ac:dyDescent="0.25">
      <c r="A59" s="11"/>
      <c r="B59" s="12"/>
      <c r="C59" s="12"/>
      <c r="D59" s="12"/>
      <c r="E59" s="10"/>
      <c r="F59" s="10"/>
      <c r="G59" s="10"/>
      <c r="H59" s="13"/>
      <c r="I59" s="5"/>
      <c r="J59" s="10"/>
    </row>
    <row r="60" spans="1:10" ht="21" customHeight="1" x14ac:dyDescent="0.25">
      <c r="A60" s="11"/>
      <c r="B60" s="12"/>
      <c r="C60" s="12"/>
      <c r="D60" s="12"/>
      <c r="E60" s="10"/>
      <c r="F60" s="10"/>
      <c r="G60" s="10"/>
      <c r="H60" s="13"/>
      <c r="I60" s="5"/>
      <c r="J60" s="10"/>
    </row>
    <row r="61" spans="1:10" ht="21" customHeight="1" x14ac:dyDescent="0.25">
      <c r="A61" s="11"/>
      <c r="B61" s="12"/>
      <c r="C61" s="12"/>
      <c r="D61" s="12"/>
      <c r="E61" s="10"/>
      <c r="F61" s="10"/>
      <c r="G61" s="10"/>
      <c r="H61" s="13"/>
      <c r="I61" s="5"/>
      <c r="J61" s="10"/>
    </row>
    <row r="62" spans="1:10" ht="21" customHeight="1" x14ac:dyDescent="0.25">
      <c r="A62" s="11"/>
      <c r="B62" s="12"/>
      <c r="C62" s="12"/>
      <c r="D62" s="12"/>
      <c r="E62" s="10"/>
      <c r="F62" s="10"/>
      <c r="G62" s="10"/>
      <c r="H62" s="13"/>
      <c r="I62" s="5"/>
      <c r="J62" s="10"/>
    </row>
    <row r="63" spans="1:10" ht="21" customHeight="1" x14ac:dyDescent="0.25">
      <c r="A63" s="11"/>
      <c r="B63" s="12"/>
      <c r="C63" s="12"/>
      <c r="D63" s="12"/>
      <c r="E63" s="10"/>
      <c r="F63" s="10"/>
      <c r="G63" s="10"/>
      <c r="H63" s="13"/>
      <c r="I63" s="5"/>
      <c r="J63" s="10"/>
    </row>
    <row r="64" spans="1:10" ht="21" customHeight="1" x14ac:dyDescent="0.25">
      <c r="A64" s="11"/>
      <c r="B64" s="12"/>
      <c r="C64" s="12"/>
      <c r="D64" s="12"/>
      <c r="E64" s="10"/>
      <c r="F64" s="10"/>
      <c r="G64" s="10"/>
      <c r="H64" s="13"/>
      <c r="I64" s="5"/>
      <c r="J64" s="10"/>
    </row>
    <row r="65" spans="1:10" ht="21" customHeight="1" x14ac:dyDescent="0.25">
      <c r="A65" s="11"/>
      <c r="B65" s="12"/>
      <c r="C65" s="12"/>
      <c r="D65" s="12"/>
      <c r="E65" s="10"/>
      <c r="F65" s="10"/>
      <c r="G65" s="10"/>
      <c r="H65" s="13"/>
      <c r="I65" s="5"/>
      <c r="J65" s="10"/>
    </row>
    <row r="66" spans="1:10" ht="21" customHeight="1" x14ac:dyDescent="0.25">
      <c r="A66" s="11"/>
      <c r="B66" s="12"/>
      <c r="C66" s="12"/>
      <c r="D66" s="12"/>
      <c r="E66" s="10"/>
      <c r="F66" s="10"/>
      <c r="G66" s="10"/>
      <c r="H66" s="13"/>
      <c r="I66" s="5"/>
      <c r="J66" s="10"/>
    </row>
    <row r="67" spans="1:10" ht="21" customHeight="1" x14ac:dyDescent="0.25">
      <c r="A67" s="11"/>
      <c r="B67" s="12"/>
      <c r="C67" s="12"/>
      <c r="D67" s="12"/>
      <c r="E67" s="10"/>
      <c r="F67" s="10"/>
      <c r="G67" s="10"/>
      <c r="H67" s="13"/>
      <c r="I67" s="5"/>
      <c r="J67" s="10"/>
    </row>
    <row r="68" spans="1:10" ht="21" customHeight="1" x14ac:dyDescent="0.25">
      <c r="A68" s="11"/>
      <c r="B68" s="12"/>
      <c r="C68" s="12"/>
      <c r="D68" s="12"/>
      <c r="E68" s="10"/>
      <c r="F68" s="10"/>
      <c r="G68" s="10"/>
      <c r="H68" s="13"/>
      <c r="I68" s="5"/>
      <c r="J68" s="10"/>
    </row>
    <row r="69" spans="1:10" ht="21" customHeight="1" x14ac:dyDescent="0.25">
      <c r="A69" s="11"/>
      <c r="B69" s="12"/>
      <c r="C69" s="12"/>
      <c r="D69" s="12"/>
      <c r="E69" s="10"/>
      <c r="F69" s="10"/>
      <c r="G69" s="10"/>
      <c r="H69" s="13"/>
      <c r="I69" s="5"/>
      <c r="J69" s="10"/>
    </row>
    <row r="70" spans="1:10" ht="21" customHeight="1" x14ac:dyDescent="0.25">
      <c r="A70" s="11"/>
      <c r="B70" s="12"/>
      <c r="C70" s="12"/>
      <c r="D70" s="12"/>
      <c r="E70" s="10"/>
      <c r="F70" s="10"/>
      <c r="G70" s="10"/>
      <c r="H70" s="13"/>
      <c r="I70" s="5"/>
      <c r="J70" s="10"/>
    </row>
    <row r="71" spans="1:10" ht="21" customHeight="1" x14ac:dyDescent="0.25">
      <c r="A71" s="11"/>
      <c r="B71" s="12"/>
      <c r="C71" s="12"/>
      <c r="D71" s="12"/>
      <c r="E71" s="10"/>
      <c r="F71" s="10"/>
      <c r="G71" s="10"/>
      <c r="H71" s="13"/>
      <c r="I71" s="5"/>
      <c r="J71" s="10"/>
    </row>
    <row r="72" spans="1:10" ht="21" customHeight="1" x14ac:dyDescent="0.25">
      <c r="A72" s="11"/>
      <c r="B72" s="12"/>
      <c r="C72" s="12"/>
      <c r="D72" s="12"/>
      <c r="E72" s="10"/>
      <c r="F72" s="10"/>
      <c r="G72" s="10"/>
      <c r="H72" s="13"/>
      <c r="I72" s="5"/>
      <c r="J72" s="10"/>
    </row>
    <row r="73" spans="1:10" ht="21" customHeight="1" x14ac:dyDescent="0.25">
      <c r="A73" s="11"/>
      <c r="B73" s="12"/>
      <c r="C73" s="12"/>
      <c r="D73" s="12"/>
      <c r="E73" s="10"/>
      <c r="F73" s="10"/>
      <c r="G73" s="10"/>
      <c r="H73" s="13"/>
      <c r="I73" s="5"/>
      <c r="J73" s="10"/>
    </row>
    <row r="74" spans="1:10" ht="21" customHeight="1" x14ac:dyDescent="0.25">
      <c r="A74" s="11"/>
      <c r="B74" s="12"/>
      <c r="C74" s="12"/>
      <c r="D74" s="12"/>
      <c r="E74" s="10"/>
      <c r="F74" s="10"/>
      <c r="G74" s="10"/>
      <c r="H74" s="13"/>
      <c r="I74" s="5"/>
      <c r="J74" s="10"/>
    </row>
    <row r="75" spans="1:10" ht="21" customHeight="1" x14ac:dyDescent="0.25">
      <c r="A75" s="11"/>
      <c r="B75" s="12"/>
      <c r="C75" s="12"/>
      <c r="D75" s="12"/>
      <c r="E75" s="10"/>
      <c r="F75" s="10"/>
      <c r="G75" s="10"/>
      <c r="H75" s="13"/>
      <c r="I75" s="5"/>
      <c r="J75" s="10"/>
    </row>
    <row r="76" spans="1:10" ht="21" customHeight="1" x14ac:dyDescent="0.25">
      <c r="A76" s="11"/>
      <c r="B76" s="12"/>
      <c r="C76" s="12"/>
      <c r="D76" s="12"/>
      <c r="E76" s="10"/>
      <c r="F76" s="10"/>
      <c r="G76" s="10"/>
      <c r="H76" s="13"/>
      <c r="I76" s="5"/>
      <c r="J76" s="10"/>
    </row>
    <row r="77" spans="1:10" ht="21" customHeight="1" x14ac:dyDescent="0.25">
      <c r="A77" s="11"/>
      <c r="B77" s="12"/>
      <c r="C77" s="12"/>
      <c r="D77" s="12"/>
      <c r="E77" s="10"/>
      <c r="F77" s="10"/>
      <c r="G77" s="10"/>
      <c r="H77" s="13"/>
      <c r="I77" s="5"/>
      <c r="J77" s="10"/>
    </row>
    <row r="78" spans="1:10" ht="21" customHeight="1" x14ac:dyDescent="0.25">
      <c r="A78" s="11"/>
      <c r="B78" s="12"/>
      <c r="C78" s="12"/>
      <c r="D78" s="12"/>
      <c r="E78" s="10"/>
      <c r="F78" s="10"/>
      <c r="G78" s="10"/>
      <c r="H78" s="13"/>
      <c r="I78" s="5"/>
      <c r="J78" s="10"/>
    </row>
    <row r="79" spans="1:10" ht="21" customHeight="1" x14ac:dyDescent="0.25">
      <c r="A79" s="11"/>
      <c r="B79" s="12"/>
      <c r="C79" s="12"/>
      <c r="D79" s="12"/>
      <c r="E79" s="10"/>
      <c r="F79" s="10"/>
      <c r="G79" s="10"/>
      <c r="H79" s="13"/>
      <c r="I79" s="5"/>
      <c r="J79" s="10"/>
    </row>
    <row r="80" spans="1:10" ht="21" customHeight="1" x14ac:dyDescent="0.25">
      <c r="A80" s="11"/>
      <c r="B80" s="12"/>
      <c r="C80" s="12"/>
      <c r="D80" s="12"/>
      <c r="E80" s="10"/>
      <c r="F80" s="10"/>
      <c r="G80" s="10"/>
      <c r="H80" s="13"/>
      <c r="I80" s="5"/>
      <c r="J80" s="10"/>
    </row>
    <row r="81" spans="1:10" ht="21" customHeight="1" x14ac:dyDescent="0.25">
      <c r="A81" s="11"/>
      <c r="B81" s="12"/>
      <c r="C81" s="12"/>
      <c r="D81" s="12"/>
      <c r="E81" s="10"/>
      <c r="F81" s="10"/>
      <c r="G81" s="10"/>
      <c r="H81" s="13"/>
      <c r="I81" s="5"/>
      <c r="J81" s="10"/>
    </row>
    <row r="82" spans="1:10" ht="21" customHeight="1" x14ac:dyDescent="0.25">
      <c r="A82" s="11"/>
      <c r="B82" s="12"/>
      <c r="C82" s="12"/>
      <c r="D82" s="12"/>
      <c r="E82" s="10"/>
      <c r="F82" s="10"/>
      <c r="G82" s="10"/>
      <c r="H82" s="13"/>
      <c r="I82" s="5"/>
      <c r="J82" s="10"/>
    </row>
    <row r="83" spans="1:10" ht="21" customHeight="1" x14ac:dyDescent="0.25">
      <c r="A83" s="11"/>
      <c r="B83" s="12"/>
      <c r="C83" s="12"/>
      <c r="D83" s="12"/>
      <c r="E83" s="10"/>
      <c r="F83" s="10"/>
      <c r="G83" s="10"/>
      <c r="H83" s="13"/>
      <c r="I83" s="5"/>
      <c r="J83" s="10"/>
    </row>
    <row r="84" spans="1:10" ht="21" customHeight="1" x14ac:dyDescent="0.25">
      <c r="A84" s="11"/>
      <c r="B84" s="12"/>
      <c r="C84" s="12"/>
      <c r="D84" s="12"/>
      <c r="E84" s="10"/>
      <c r="F84" s="10"/>
      <c r="G84" s="10"/>
      <c r="H84" s="13"/>
      <c r="I84" s="5"/>
      <c r="J84" s="10"/>
    </row>
    <row r="85" spans="1:10" ht="21" customHeight="1" x14ac:dyDescent="0.25">
      <c r="A85" s="11"/>
      <c r="B85" s="12"/>
      <c r="C85" s="12"/>
      <c r="D85" s="12"/>
      <c r="E85" s="10"/>
      <c r="F85" s="10"/>
      <c r="G85" s="10"/>
      <c r="H85" s="13"/>
      <c r="I85" s="5"/>
      <c r="J85" s="10"/>
    </row>
    <row r="86" spans="1:10" ht="21" customHeight="1" x14ac:dyDescent="0.25">
      <c r="A86" s="11"/>
      <c r="B86" s="12"/>
      <c r="C86" s="12"/>
      <c r="D86" s="12"/>
      <c r="E86" s="10"/>
      <c r="F86" s="10"/>
      <c r="G86" s="10"/>
      <c r="H86" s="13"/>
      <c r="I86" s="5"/>
      <c r="J86" s="10"/>
    </row>
    <row r="87" spans="1:10" ht="21" customHeight="1" x14ac:dyDescent="0.25">
      <c r="A87" s="11"/>
      <c r="B87" s="12"/>
      <c r="C87" s="12"/>
      <c r="D87" s="12"/>
      <c r="E87" s="10"/>
      <c r="F87" s="10"/>
      <c r="G87" s="10"/>
      <c r="H87" s="13"/>
      <c r="I87" s="5"/>
      <c r="J87" s="10"/>
    </row>
    <row r="88" spans="1:10" ht="21" customHeight="1" x14ac:dyDescent="0.25">
      <c r="A88" s="11"/>
      <c r="B88" s="12"/>
      <c r="C88" s="12"/>
      <c r="D88" s="12"/>
      <c r="E88" s="10"/>
      <c r="F88" s="10"/>
      <c r="G88" s="10"/>
      <c r="H88" s="13"/>
      <c r="I88" s="5"/>
      <c r="J88" s="10"/>
    </row>
    <row r="89" spans="1:10" ht="21" customHeight="1" x14ac:dyDescent="0.25">
      <c r="A89" s="11"/>
      <c r="B89" s="12"/>
      <c r="C89" s="12"/>
      <c r="D89" s="12"/>
      <c r="E89" s="10"/>
      <c r="F89" s="10"/>
      <c r="G89" s="10"/>
      <c r="H89" s="13"/>
      <c r="I89" s="5"/>
      <c r="J89" s="10"/>
    </row>
    <row r="90" spans="1:10" ht="21" customHeight="1" x14ac:dyDescent="0.25">
      <c r="A90" s="11"/>
      <c r="B90" s="12"/>
      <c r="C90" s="12"/>
      <c r="D90" s="12"/>
      <c r="E90" s="10"/>
      <c r="F90" s="10"/>
      <c r="G90" s="10"/>
      <c r="H90" s="13"/>
      <c r="I90" s="5"/>
      <c r="J90" s="10"/>
    </row>
    <row r="91" spans="1:10" ht="21" customHeight="1" x14ac:dyDescent="0.25">
      <c r="A91" s="11"/>
      <c r="B91" s="12"/>
      <c r="C91" s="12"/>
      <c r="D91" s="12"/>
      <c r="E91" s="10"/>
      <c r="F91" s="10"/>
      <c r="G91" s="10"/>
      <c r="H91" s="13"/>
      <c r="I91" s="5"/>
      <c r="J91" s="10"/>
    </row>
    <row r="92" spans="1:10" ht="21" customHeight="1" x14ac:dyDescent="0.25">
      <c r="A92" s="11"/>
      <c r="B92" s="12"/>
      <c r="C92" s="12"/>
      <c r="D92" s="12"/>
      <c r="E92" s="10"/>
      <c r="F92" s="10"/>
      <c r="G92" s="10"/>
      <c r="H92" s="13"/>
      <c r="I92" s="5"/>
      <c r="J92" s="10"/>
    </row>
    <row r="93" spans="1:10" ht="21" customHeight="1" x14ac:dyDescent="0.25">
      <c r="A93" s="11"/>
      <c r="B93" s="12"/>
      <c r="C93" s="12"/>
      <c r="D93" s="12"/>
      <c r="E93" s="10"/>
      <c r="F93" s="10"/>
      <c r="G93" s="10"/>
      <c r="H93" s="13"/>
      <c r="I93" s="5"/>
      <c r="J93" s="10"/>
    </row>
    <row r="94" spans="1:10" ht="21" customHeight="1" x14ac:dyDescent="0.25">
      <c r="A94" s="11"/>
      <c r="B94" s="12"/>
      <c r="C94" s="12"/>
      <c r="D94" s="12"/>
      <c r="E94" s="10"/>
      <c r="F94" s="10"/>
      <c r="G94" s="10"/>
      <c r="H94" s="13"/>
      <c r="I94" s="5"/>
      <c r="J94" s="10"/>
    </row>
    <row r="95" spans="1:10" ht="21" customHeight="1" x14ac:dyDescent="0.25">
      <c r="A95" s="11"/>
      <c r="B95" s="12"/>
      <c r="C95" s="12"/>
      <c r="D95" s="12"/>
      <c r="E95" s="10"/>
      <c r="F95" s="10"/>
      <c r="G95" s="10"/>
      <c r="H95" s="13"/>
      <c r="I95" s="5"/>
      <c r="J95" s="10"/>
    </row>
    <row r="96" spans="1:10" ht="21" customHeight="1" x14ac:dyDescent="0.25">
      <c r="A96" s="11"/>
      <c r="B96" s="12"/>
      <c r="C96" s="12"/>
      <c r="D96" s="12"/>
      <c r="E96" s="10"/>
      <c r="F96" s="10"/>
      <c r="G96" s="10"/>
      <c r="H96" s="13"/>
      <c r="I96" s="5"/>
      <c r="J96" s="10"/>
    </row>
    <row r="97" spans="1:10" ht="21" customHeight="1" x14ac:dyDescent="0.25">
      <c r="A97" s="11"/>
      <c r="B97" s="12"/>
      <c r="C97" s="12"/>
      <c r="D97" s="12"/>
      <c r="E97" s="10"/>
      <c r="F97" s="10"/>
      <c r="G97" s="10"/>
      <c r="H97" s="13"/>
      <c r="I97" s="5"/>
      <c r="J97" s="10"/>
    </row>
    <row r="98" spans="1:10" ht="21" customHeight="1" x14ac:dyDescent="0.25">
      <c r="A98" s="11"/>
      <c r="B98" s="12"/>
      <c r="C98" s="12"/>
      <c r="D98" s="12"/>
      <c r="E98" s="10"/>
      <c r="F98" s="10"/>
      <c r="G98" s="10"/>
      <c r="H98" s="13"/>
      <c r="I98" s="5"/>
      <c r="J98" s="10"/>
    </row>
    <row r="99" spans="1:10" ht="21" customHeight="1" x14ac:dyDescent="0.25">
      <c r="A99" s="11"/>
      <c r="B99" s="12"/>
      <c r="C99" s="12"/>
      <c r="D99" s="12"/>
      <c r="E99" s="10"/>
      <c r="F99" s="10"/>
      <c r="G99" s="10"/>
      <c r="H99" s="13"/>
      <c r="I99" s="5"/>
      <c r="J99" s="10"/>
    </row>
    <row r="100" spans="1:10" ht="21" customHeight="1" x14ac:dyDescent="0.25">
      <c r="A100" s="11"/>
      <c r="B100" s="12"/>
      <c r="C100" s="12"/>
      <c r="D100" s="12"/>
      <c r="E100" s="10"/>
      <c r="F100" s="10"/>
      <c r="G100" s="10"/>
      <c r="H100" s="13"/>
      <c r="I100" s="5"/>
      <c r="J100" s="10"/>
    </row>
    <row r="101" spans="1:10" ht="21" customHeight="1" x14ac:dyDescent="0.25">
      <c r="A101" s="11"/>
      <c r="B101" s="12"/>
      <c r="C101" s="12"/>
      <c r="D101" s="12"/>
      <c r="E101" s="10"/>
      <c r="F101" s="10"/>
      <c r="G101" s="10"/>
      <c r="H101" s="13"/>
      <c r="I101" s="5"/>
      <c r="J101" s="10"/>
    </row>
    <row r="102" spans="1:10" ht="21" customHeight="1" x14ac:dyDescent="0.25">
      <c r="A102" s="11"/>
      <c r="B102" s="12"/>
      <c r="C102" s="12"/>
      <c r="D102" s="12"/>
      <c r="E102" s="10"/>
      <c r="F102" s="10"/>
      <c r="G102" s="10"/>
      <c r="H102" s="13"/>
      <c r="I102" s="5"/>
      <c r="J102" s="10"/>
    </row>
    <row r="103" spans="1:10" ht="21" customHeight="1" x14ac:dyDescent="0.25">
      <c r="A103" s="11"/>
      <c r="B103" s="12"/>
      <c r="C103" s="12"/>
      <c r="D103" s="12"/>
      <c r="E103" s="10"/>
      <c r="F103" s="10"/>
      <c r="G103" s="10"/>
      <c r="H103" s="13"/>
      <c r="I103" s="5"/>
      <c r="J103" s="10"/>
    </row>
    <row r="104" spans="1:10" ht="21" customHeight="1" x14ac:dyDescent="0.25">
      <c r="A104" s="11"/>
      <c r="B104" s="12"/>
      <c r="C104" s="12"/>
      <c r="D104" s="12"/>
      <c r="E104" s="10"/>
      <c r="F104" s="10"/>
      <c r="G104" s="10"/>
      <c r="H104" s="13"/>
      <c r="I104" s="5"/>
      <c r="J104" s="10"/>
    </row>
    <row r="105" spans="1:10" ht="21" customHeight="1" x14ac:dyDescent="0.25">
      <c r="A105" s="11"/>
      <c r="B105" s="12"/>
      <c r="C105" s="12"/>
      <c r="D105" s="12"/>
      <c r="E105" s="10"/>
      <c r="F105" s="10"/>
      <c r="G105" s="10"/>
      <c r="H105" s="13"/>
      <c r="I105" s="5"/>
      <c r="J105" s="10"/>
    </row>
    <row r="106" spans="1:10" ht="21" customHeight="1" x14ac:dyDescent="0.25">
      <c r="A106" s="11"/>
      <c r="B106" s="12"/>
      <c r="C106" s="12"/>
      <c r="D106" s="12"/>
      <c r="E106" s="10"/>
      <c r="F106" s="10"/>
      <c r="G106" s="10"/>
      <c r="H106" s="13"/>
      <c r="I106" s="5"/>
      <c r="J106" s="10"/>
    </row>
    <row r="107" spans="1:10" ht="21" customHeight="1" x14ac:dyDescent="0.25">
      <c r="A107" s="11"/>
      <c r="B107" s="12"/>
      <c r="C107" s="12"/>
      <c r="D107" s="12"/>
      <c r="E107" s="10"/>
      <c r="F107" s="10"/>
      <c r="G107" s="10"/>
      <c r="H107" s="13"/>
      <c r="I107" s="5"/>
      <c r="J107" s="10"/>
    </row>
    <row r="108" spans="1:10" ht="21" customHeight="1" x14ac:dyDescent="0.25">
      <c r="A108" s="11"/>
      <c r="B108" s="12"/>
      <c r="C108" s="12"/>
      <c r="D108" s="12"/>
      <c r="E108" s="10"/>
      <c r="F108" s="10"/>
      <c r="G108" s="10"/>
      <c r="H108" s="13"/>
      <c r="I108" s="5"/>
      <c r="J108" s="10"/>
    </row>
    <row r="109" spans="1:10" ht="21" customHeight="1" x14ac:dyDescent="0.25">
      <c r="A109" s="11"/>
      <c r="B109" s="12"/>
      <c r="C109" s="12"/>
      <c r="D109" s="12"/>
      <c r="E109" s="10"/>
      <c r="F109" s="10"/>
      <c r="G109" s="10"/>
      <c r="H109" s="13"/>
      <c r="I109" s="5"/>
      <c r="J109" s="10"/>
    </row>
    <row r="110" spans="1:10" ht="21" customHeight="1" x14ac:dyDescent="0.25">
      <c r="A110" s="11"/>
      <c r="B110" s="12"/>
      <c r="C110" s="12"/>
      <c r="D110" s="12"/>
      <c r="E110" s="10"/>
      <c r="F110" s="10"/>
      <c r="G110" s="10"/>
      <c r="H110" s="13"/>
      <c r="I110" s="5"/>
      <c r="J110" s="10"/>
    </row>
    <row r="111" spans="1:10" ht="21" customHeight="1" x14ac:dyDescent="0.25">
      <c r="A111" s="11"/>
      <c r="B111" s="12"/>
      <c r="C111" s="12"/>
      <c r="D111" s="12"/>
      <c r="E111" s="10"/>
      <c r="F111" s="10"/>
      <c r="G111" s="10"/>
      <c r="H111" s="13"/>
      <c r="I111" s="5"/>
      <c r="J111" s="10"/>
    </row>
    <row r="112" spans="1:10" ht="21" customHeight="1" x14ac:dyDescent="0.25">
      <c r="A112" s="11"/>
      <c r="B112" s="12"/>
      <c r="C112" s="12"/>
      <c r="D112" s="12"/>
      <c r="E112" s="10"/>
      <c r="F112" s="10"/>
      <c r="G112" s="10"/>
      <c r="H112" s="13"/>
      <c r="I112" s="5"/>
      <c r="J112" s="10"/>
    </row>
    <row r="113" spans="1:10" ht="21" customHeight="1" x14ac:dyDescent="0.25">
      <c r="A113" s="11"/>
      <c r="B113" s="12"/>
      <c r="C113" s="12"/>
      <c r="D113" s="12"/>
      <c r="E113" s="10"/>
      <c r="F113" s="10"/>
      <c r="G113" s="10"/>
      <c r="H113" s="13"/>
      <c r="I113" s="5"/>
      <c r="J113" s="10"/>
    </row>
    <row r="114" spans="1:10" ht="21" customHeight="1" x14ac:dyDescent="0.25">
      <c r="A114" s="11"/>
      <c r="B114" s="12"/>
      <c r="C114" s="12"/>
      <c r="D114" s="12"/>
      <c r="E114" s="10"/>
      <c r="F114" s="10"/>
      <c r="G114" s="10"/>
      <c r="H114" s="13"/>
      <c r="I114" s="5"/>
      <c r="J114" s="10"/>
    </row>
    <row r="115" spans="1:10" ht="21" customHeight="1" x14ac:dyDescent="0.25">
      <c r="A115" s="11"/>
      <c r="B115" s="12"/>
      <c r="C115" s="12"/>
      <c r="D115" s="12"/>
      <c r="E115" s="10"/>
      <c r="F115" s="10"/>
      <c r="G115" s="10"/>
      <c r="H115" s="13"/>
      <c r="I115" s="5"/>
      <c r="J115" s="10"/>
    </row>
    <row r="116" spans="1:10" ht="21" customHeight="1" x14ac:dyDescent="0.25">
      <c r="A116" s="11"/>
      <c r="B116" s="12"/>
      <c r="C116" s="12"/>
      <c r="D116" s="12"/>
      <c r="E116" s="10"/>
      <c r="F116" s="10"/>
      <c r="G116" s="10"/>
      <c r="H116" s="13"/>
      <c r="I116" s="5"/>
      <c r="J116" s="10"/>
    </row>
    <row r="117" spans="1:10" ht="21" customHeight="1" x14ac:dyDescent="0.25">
      <c r="A117" s="11"/>
      <c r="B117" s="12"/>
      <c r="C117" s="12"/>
      <c r="D117" s="12"/>
      <c r="E117" s="10"/>
      <c r="F117" s="10"/>
      <c r="G117" s="10"/>
      <c r="H117" s="13"/>
      <c r="I117" s="5"/>
      <c r="J117" s="10"/>
    </row>
    <row r="118" spans="1:10" ht="21" customHeight="1" x14ac:dyDescent="0.25">
      <c r="A118" s="11"/>
      <c r="B118" s="12"/>
      <c r="C118" s="12"/>
      <c r="D118" s="12"/>
      <c r="E118" s="10"/>
      <c r="F118" s="10"/>
      <c r="G118" s="10"/>
      <c r="H118" s="13"/>
      <c r="I118" s="5"/>
      <c r="J118" s="10"/>
    </row>
    <row r="119" spans="1:10" ht="21" customHeight="1" x14ac:dyDescent="0.25">
      <c r="A119" s="11"/>
      <c r="B119" s="12"/>
      <c r="C119" s="12"/>
      <c r="D119" s="12"/>
      <c r="E119" s="10"/>
      <c r="F119" s="10"/>
      <c r="G119" s="10"/>
      <c r="H119" s="13"/>
      <c r="I119" s="5"/>
      <c r="J119" s="10"/>
    </row>
    <row r="120" spans="1:10" ht="21" customHeight="1" x14ac:dyDescent="0.25">
      <c r="A120" s="11"/>
      <c r="B120" s="12"/>
      <c r="C120" s="12"/>
      <c r="D120" s="12"/>
      <c r="E120" s="10"/>
      <c r="F120" s="10"/>
      <c r="G120" s="10"/>
      <c r="H120" s="13"/>
      <c r="I120" s="5"/>
      <c r="J120" s="10"/>
    </row>
    <row r="121" spans="1:10" ht="21" customHeight="1" x14ac:dyDescent="0.25">
      <c r="A121" s="11"/>
      <c r="B121" s="12"/>
      <c r="C121" s="12"/>
      <c r="D121" s="12"/>
      <c r="E121" s="10"/>
      <c r="F121" s="10"/>
      <c r="G121" s="10"/>
      <c r="H121" s="13"/>
      <c r="I121" s="5"/>
      <c r="J121" s="10"/>
    </row>
    <row r="122" spans="1:10" ht="21" customHeight="1" x14ac:dyDescent="0.25">
      <c r="A122" s="11"/>
      <c r="B122" s="12"/>
      <c r="C122" s="12"/>
      <c r="D122" s="12"/>
      <c r="E122" s="10"/>
      <c r="F122" s="10"/>
      <c r="G122" s="10"/>
      <c r="H122" s="13"/>
      <c r="I122" s="5"/>
      <c r="J122" s="10"/>
    </row>
    <row r="123" spans="1:10" ht="21" customHeight="1" x14ac:dyDescent="0.25">
      <c r="A123" s="11"/>
      <c r="B123" s="12"/>
      <c r="C123" s="12"/>
      <c r="D123" s="12"/>
      <c r="E123" s="10"/>
      <c r="F123" s="10"/>
      <c r="G123" s="10"/>
      <c r="H123" s="13"/>
      <c r="I123" s="5"/>
      <c r="J123" s="10"/>
    </row>
    <row r="124" spans="1:10" ht="21" customHeight="1" x14ac:dyDescent="0.25">
      <c r="A124" s="11"/>
      <c r="B124" s="12"/>
      <c r="C124" s="12"/>
      <c r="D124" s="12"/>
      <c r="E124" s="10"/>
      <c r="F124" s="10"/>
      <c r="G124" s="10"/>
      <c r="H124" s="13"/>
      <c r="I124" s="5"/>
      <c r="J124" s="10"/>
    </row>
    <row r="125" spans="1:10" ht="21" customHeight="1" x14ac:dyDescent="0.25">
      <c r="A125" s="11"/>
      <c r="B125" s="12"/>
      <c r="C125" s="12"/>
      <c r="D125" s="12"/>
      <c r="E125" s="10"/>
      <c r="F125" s="10"/>
      <c r="G125" s="10"/>
      <c r="H125" s="13"/>
      <c r="I125" s="5"/>
      <c r="J125" s="10"/>
    </row>
    <row r="126" spans="1:10" ht="21" customHeight="1" x14ac:dyDescent="0.25">
      <c r="A126" s="11"/>
      <c r="B126" s="12"/>
      <c r="C126" s="12"/>
      <c r="D126" s="12"/>
      <c r="E126" s="10"/>
      <c r="F126" s="10"/>
      <c r="G126" s="10"/>
      <c r="H126" s="13"/>
      <c r="I126" s="5"/>
      <c r="J126" s="10"/>
    </row>
    <row r="127" spans="1:10" ht="21" customHeight="1" x14ac:dyDescent="0.25">
      <c r="A127" s="11"/>
      <c r="B127" s="12"/>
      <c r="C127" s="12"/>
      <c r="D127" s="12"/>
      <c r="E127" s="10"/>
      <c r="F127" s="10"/>
      <c r="G127" s="10"/>
      <c r="H127" s="13"/>
      <c r="I127" s="5"/>
      <c r="J127" s="10"/>
    </row>
    <row r="128" spans="1:10" ht="21" customHeight="1" x14ac:dyDescent="0.25">
      <c r="A128" s="11"/>
      <c r="B128" s="12"/>
      <c r="C128" s="12"/>
      <c r="D128" s="12"/>
      <c r="E128" s="10"/>
      <c r="F128" s="10"/>
      <c r="G128" s="10"/>
      <c r="H128" s="13"/>
      <c r="I128" s="5"/>
      <c r="J128" s="10"/>
    </row>
    <row r="129" spans="1:10" ht="21" customHeight="1" x14ac:dyDescent="0.25">
      <c r="A129" s="11"/>
      <c r="B129" s="12"/>
      <c r="C129" s="12"/>
      <c r="D129" s="12"/>
      <c r="E129" s="10"/>
      <c r="F129" s="10"/>
      <c r="G129" s="10"/>
      <c r="H129" s="13"/>
      <c r="I129" s="5"/>
      <c r="J129" s="10"/>
    </row>
    <row r="130" spans="1:10" ht="21" customHeight="1" x14ac:dyDescent="0.25">
      <c r="A130" s="11"/>
      <c r="B130" s="12"/>
      <c r="C130" s="12"/>
      <c r="D130" s="12"/>
      <c r="E130" s="10"/>
      <c r="F130" s="10"/>
      <c r="G130" s="10"/>
      <c r="H130" s="13"/>
      <c r="I130" s="5"/>
      <c r="J130" s="10"/>
    </row>
    <row r="131" spans="1:10" ht="21" customHeight="1" x14ac:dyDescent="0.25">
      <c r="A131" s="11"/>
      <c r="B131" s="12"/>
      <c r="C131" s="12"/>
      <c r="D131" s="12"/>
      <c r="E131" s="10"/>
      <c r="F131" s="10"/>
      <c r="G131" s="10"/>
      <c r="H131" s="13"/>
      <c r="I131" s="5"/>
      <c r="J131" s="10"/>
    </row>
    <row r="132" spans="1:10" ht="21" customHeight="1" x14ac:dyDescent="0.25">
      <c r="A132" s="11"/>
      <c r="B132" s="12"/>
      <c r="C132" s="12"/>
      <c r="D132" s="12"/>
      <c r="E132" s="10"/>
      <c r="F132" s="10"/>
      <c r="G132" s="10"/>
      <c r="H132" s="13"/>
      <c r="I132" s="5"/>
      <c r="J132" s="10"/>
    </row>
    <row r="133" spans="1:10" ht="21" customHeight="1" x14ac:dyDescent="0.25">
      <c r="A133" s="11"/>
      <c r="B133" s="12"/>
      <c r="C133" s="12"/>
      <c r="D133" s="12"/>
      <c r="E133" s="10"/>
      <c r="F133" s="10"/>
      <c r="G133" s="10"/>
      <c r="H133" s="13"/>
      <c r="I133" s="5"/>
      <c r="J133" s="10"/>
    </row>
    <row r="134" spans="1:10" ht="21" customHeight="1" x14ac:dyDescent="0.25">
      <c r="A134" s="11"/>
      <c r="B134" s="12"/>
      <c r="C134" s="12"/>
      <c r="D134" s="12"/>
      <c r="E134" s="10"/>
      <c r="F134" s="10"/>
      <c r="G134" s="10"/>
      <c r="H134" s="13"/>
      <c r="I134" s="5"/>
      <c r="J134" s="10"/>
    </row>
    <row r="135" spans="1:10" ht="21" customHeight="1" x14ac:dyDescent="0.25">
      <c r="A135" s="11"/>
      <c r="B135" s="12"/>
      <c r="C135" s="12"/>
      <c r="D135" s="12"/>
      <c r="E135" s="10"/>
      <c r="F135" s="10"/>
      <c r="G135" s="10"/>
      <c r="H135" s="13"/>
      <c r="I135" s="5"/>
      <c r="J135" s="10"/>
    </row>
    <row r="136" spans="1:10" ht="21" customHeight="1" x14ac:dyDescent="0.25">
      <c r="A136" s="11"/>
      <c r="B136" s="12"/>
      <c r="C136" s="12"/>
      <c r="D136" s="12"/>
      <c r="E136" s="10"/>
      <c r="F136" s="10"/>
      <c r="G136" s="10"/>
      <c r="H136" s="13"/>
      <c r="I136" s="5"/>
      <c r="J136" s="10"/>
    </row>
    <row r="137" spans="1:10" ht="21" customHeight="1" x14ac:dyDescent="0.25">
      <c r="A137" s="11"/>
      <c r="B137" s="12"/>
      <c r="C137" s="12"/>
      <c r="D137" s="12"/>
      <c r="E137" s="10"/>
      <c r="F137" s="10"/>
      <c r="G137" s="10"/>
      <c r="H137" s="13"/>
      <c r="I137" s="5"/>
      <c r="J137" s="10"/>
    </row>
    <row r="138" spans="1:10" ht="21" customHeight="1" x14ac:dyDescent="0.25">
      <c r="A138" s="11"/>
      <c r="B138" s="12"/>
      <c r="C138" s="12"/>
      <c r="D138" s="12"/>
      <c r="E138" s="10"/>
      <c r="F138" s="10"/>
      <c r="G138" s="10"/>
      <c r="H138" s="13"/>
      <c r="I138" s="5"/>
      <c r="J138" s="10"/>
    </row>
    <row r="139" spans="1:10" ht="21" customHeight="1" x14ac:dyDescent="0.25">
      <c r="A139" s="11"/>
      <c r="B139" s="12"/>
      <c r="C139" s="12"/>
      <c r="D139" s="12"/>
      <c r="E139" s="10"/>
      <c r="F139" s="10"/>
      <c r="G139" s="10"/>
      <c r="H139" s="13"/>
      <c r="I139" s="5"/>
      <c r="J139" s="10"/>
    </row>
    <row r="140" spans="1:10" ht="21" customHeight="1" x14ac:dyDescent="0.25">
      <c r="A140" s="11"/>
      <c r="B140" s="12"/>
      <c r="C140" s="12"/>
      <c r="D140" s="12"/>
      <c r="E140" s="10"/>
      <c r="F140" s="10"/>
      <c r="G140" s="10"/>
      <c r="H140" s="13"/>
      <c r="I140" s="5"/>
      <c r="J140" s="10"/>
    </row>
    <row r="141" spans="1:10" ht="21" customHeight="1" x14ac:dyDescent="0.25">
      <c r="A141" s="11"/>
      <c r="B141" s="12"/>
      <c r="C141" s="12"/>
      <c r="D141" s="12"/>
      <c r="E141" s="10"/>
      <c r="F141" s="10"/>
      <c r="G141" s="10"/>
      <c r="H141" s="13"/>
      <c r="I141" s="5"/>
      <c r="J141" s="10"/>
    </row>
    <row r="142" spans="1:10" ht="21" customHeight="1" x14ac:dyDescent="0.25">
      <c r="A142" s="11"/>
      <c r="B142" s="12"/>
      <c r="C142" s="12"/>
      <c r="D142" s="12"/>
      <c r="E142" s="10"/>
      <c r="F142" s="10"/>
      <c r="G142" s="10"/>
      <c r="H142" s="13"/>
      <c r="I142" s="5"/>
      <c r="J142" s="10"/>
    </row>
    <row r="143" spans="1:10" ht="21" customHeight="1" x14ac:dyDescent="0.25">
      <c r="A143" s="11"/>
      <c r="B143" s="12"/>
      <c r="C143" s="12"/>
      <c r="D143" s="12"/>
      <c r="E143" s="10"/>
      <c r="F143" s="10"/>
      <c r="G143" s="10"/>
      <c r="H143" s="13"/>
      <c r="I143" s="5"/>
      <c r="J143" s="10"/>
    </row>
    <row r="144" spans="1:10" ht="21" customHeight="1" x14ac:dyDescent="0.25">
      <c r="A144" s="11"/>
      <c r="B144" s="12"/>
      <c r="C144" s="12"/>
      <c r="D144" s="12"/>
      <c r="E144" s="10"/>
      <c r="F144" s="10"/>
      <c r="G144" s="10"/>
      <c r="H144" s="13"/>
      <c r="I144" s="5"/>
      <c r="J144" s="10"/>
    </row>
    <row r="145" spans="1:10" ht="21" customHeight="1" x14ac:dyDescent="0.25">
      <c r="A145" s="11"/>
      <c r="B145" s="12"/>
      <c r="C145" s="12"/>
      <c r="D145" s="12"/>
      <c r="E145" s="10"/>
      <c r="F145" s="10"/>
      <c r="G145" s="10"/>
      <c r="H145" s="13"/>
      <c r="I145" s="5"/>
      <c r="J145" s="10"/>
    </row>
    <row r="146" spans="1:10" ht="21" customHeight="1" x14ac:dyDescent="0.25">
      <c r="A146" s="11"/>
      <c r="B146" s="12"/>
      <c r="C146" s="12"/>
      <c r="D146" s="12"/>
      <c r="E146" s="10"/>
      <c r="F146" s="10"/>
      <c r="G146" s="10"/>
      <c r="H146" s="13"/>
      <c r="I146" s="5"/>
      <c r="J146" s="10"/>
    </row>
    <row r="147" spans="1:10" ht="21" customHeight="1" x14ac:dyDescent="0.25">
      <c r="A147" s="11"/>
      <c r="B147" s="12"/>
      <c r="C147" s="12"/>
      <c r="D147" s="12"/>
      <c r="E147" s="10"/>
      <c r="F147" s="10"/>
      <c r="G147" s="10"/>
      <c r="H147" s="13"/>
      <c r="I147" s="5"/>
      <c r="J147" s="10"/>
    </row>
    <row r="148" spans="1:10" ht="21" customHeight="1" x14ac:dyDescent="0.25">
      <c r="A148" s="11"/>
      <c r="B148" s="12"/>
      <c r="C148" s="12"/>
      <c r="D148" s="12"/>
      <c r="E148" s="10"/>
      <c r="F148" s="10"/>
      <c r="G148" s="10"/>
      <c r="H148" s="13"/>
      <c r="I148" s="5"/>
      <c r="J148" s="10"/>
    </row>
    <row r="149" spans="1:10" ht="21" customHeight="1" x14ac:dyDescent="0.25">
      <c r="A149" s="11"/>
      <c r="B149" s="12"/>
      <c r="C149" s="12"/>
      <c r="D149" s="12"/>
      <c r="E149" s="10"/>
      <c r="F149" s="10"/>
      <c r="G149" s="10"/>
      <c r="H149" s="13"/>
      <c r="I149" s="5"/>
      <c r="J149" s="10"/>
    </row>
    <row r="150" spans="1:10" ht="21" customHeight="1" x14ac:dyDescent="0.25">
      <c r="A150" s="11"/>
      <c r="B150" s="12"/>
      <c r="C150" s="12"/>
      <c r="D150" s="12"/>
      <c r="E150" s="10"/>
      <c r="F150" s="10"/>
      <c r="G150" s="10"/>
      <c r="H150" s="13"/>
      <c r="I150" s="5"/>
      <c r="J150" s="10"/>
    </row>
    <row r="151" spans="1:10" ht="21" customHeight="1" x14ac:dyDescent="0.25">
      <c r="A151" s="11"/>
      <c r="B151" s="12"/>
      <c r="C151" s="12"/>
      <c r="D151" s="12"/>
      <c r="E151" s="10"/>
      <c r="F151" s="10"/>
      <c r="G151" s="10"/>
      <c r="H151" s="13"/>
      <c r="I151" s="5"/>
      <c r="J151" s="10"/>
    </row>
    <row r="152" spans="1:10" ht="21" customHeight="1" x14ac:dyDescent="0.25">
      <c r="A152" s="11"/>
      <c r="B152" s="12"/>
      <c r="C152" s="12"/>
      <c r="D152" s="12"/>
      <c r="E152" s="10"/>
      <c r="F152" s="10"/>
      <c r="G152" s="10"/>
      <c r="H152" s="13"/>
      <c r="I152" s="5"/>
      <c r="J152" s="10"/>
    </row>
    <row r="153" spans="1:10" ht="21" customHeight="1" x14ac:dyDescent="0.25">
      <c r="A153" s="11"/>
      <c r="B153" s="12"/>
      <c r="C153" s="12"/>
      <c r="D153" s="12"/>
      <c r="E153" s="10"/>
      <c r="F153" s="10"/>
      <c r="G153" s="10"/>
      <c r="H153" s="13"/>
      <c r="I153" s="5"/>
      <c r="J153" s="10"/>
    </row>
    <row r="154" spans="1:10" ht="21" customHeight="1" x14ac:dyDescent="0.25">
      <c r="A154" s="11"/>
      <c r="B154" s="12"/>
      <c r="C154" s="12"/>
      <c r="D154" s="12"/>
      <c r="E154" s="10"/>
      <c r="F154" s="10"/>
      <c r="G154" s="10"/>
      <c r="H154" s="13"/>
      <c r="I154" s="5"/>
      <c r="J154" s="10"/>
    </row>
    <row r="155" spans="1:10" ht="21" customHeight="1" x14ac:dyDescent="0.25">
      <c r="A155" s="11"/>
      <c r="B155" s="12"/>
      <c r="C155" s="12"/>
      <c r="D155" s="12"/>
      <c r="E155" s="10"/>
      <c r="F155" s="10"/>
      <c r="G155" s="10"/>
      <c r="H155" s="13"/>
      <c r="I155" s="5"/>
      <c r="J155" s="10"/>
    </row>
    <row r="156" spans="1:10" ht="21" customHeight="1" x14ac:dyDescent="0.25">
      <c r="A156" s="11"/>
      <c r="B156" s="12"/>
      <c r="C156" s="12"/>
      <c r="D156" s="12"/>
      <c r="E156" s="10"/>
      <c r="F156" s="10"/>
      <c r="G156" s="10"/>
      <c r="H156" s="13"/>
      <c r="I156" s="5"/>
      <c r="J156" s="10"/>
    </row>
  </sheetData>
  <mergeCells count="9">
    <mergeCell ref="B4:B5"/>
    <mergeCell ref="I1:J1"/>
    <mergeCell ref="A30:I30"/>
    <mergeCell ref="B1:H1"/>
    <mergeCell ref="B6:B10"/>
    <mergeCell ref="B22:B29"/>
    <mergeCell ref="B12:B13"/>
    <mergeCell ref="B14:B17"/>
    <mergeCell ref="B18:B21"/>
  </mergeCells>
  <printOptions horizontalCentered="1"/>
  <pageMargins left="0.25" right="0.25" top="0.25" bottom="0.25" header="0" footer="0"/>
  <pageSetup paperSize="9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76C5-DDFF-4C20-A001-B36F1D551B31}">
  <sheetPr>
    <pageSetUpPr fitToPage="1"/>
  </sheetPr>
  <dimension ref="A1:O110"/>
  <sheetViews>
    <sheetView zoomScale="85" zoomScaleNormal="85" workbookViewId="0">
      <selection activeCell="I33" sqref="I33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18.7109375" style="1" customWidth="1"/>
    <col min="4" max="4" width="10.7109375" style="1" customWidth="1"/>
    <col min="5" max="5" width="50.28515625" style="1" customWidth="1"/>
    <col min="6" max="6" width="10.7109375" style="4" customWidth="1"/>
    <col min="7" max="10" width="12.7109375" style="1" customWidth="1"/>
    <col min="11" max="11" width="15.5703125" style="69" customWidth="1"/>
    <col min="12" max="12" width="16.5703125" style="69" customWidth="1"/>
    <col min="13" max="13" width="11.5703125" style="69" customWidth="1"/>
    <col min="14" max="14" width="14.42578125" style="69"/>
    <col min="15" max="16384" width="14.42578125" style="1"/>
  </cols>
  <sheetData>
    <row r="1" spans="1:15" ht="21" customHeight="1" x14ac:dyDescent="0.25">
      <c r="B1" s="176" t="s">
        <v>13</v>
      </c>
      <c r="C1" s="175"/>
      <c r="D1" s="175"/>
      <c r="E1" s="175"/>
      <c r="F1" s="175"/>
      <c r="G1" s="175"/>
      <c r="H1" s="175"/>
      <c r="I1" s="174">
        <f>Summary!D2</f>
        <v>46130</v>
      </c>
      <c r="J1" s="175"/>
    </row>
    <row r="2" spans="1:15" ht="21" customHeight="1" x14ac:dyDescent="0.25">
      <c r="B2" s="2"/>
      <c r="C2" s="2"/>
      <c r="D2" s="2"/>
      <c r="E2" s="3"/>
      <c r="F2" s="16"/>
      <c r="G2" s="3"/>
      <c r="H2" s="4"/>
      <c r="I2" s="5"/>
    </row>
    <row r="3" spans="1:15" ht="42" customHeight="1" x14ac:dyDescent="0.25">
      <c r="A3" s="6" t="s">
        <v>30</v>
      </c>
      <c r="B3" s="47" t="s">
        <v>17</v>
      </c>
      <c r="C3" s="6" t="s">
        <v>18</v>
      </c>
      <c r="D3" s="6" t="s">
        <v>19</v>
      </c>
      <c r="E3" s="7" t="s">
        <v>20</v>
      </c>
      <c r="F3" s="8" t="s">
        <v>56</v>
      </c>
      <c r="G3" s="8" t="s">
        <v>21</v>
      </c>
      <c r="H3" s="6" t="s">
        <v>22</v>
      </c>
      <c r="I3" s="9" t="s">
        <v>23</v>
      </c>
      <c r="J3" s="6" t="s">
        <v>24</v>
      </c>
      <c r="K3" s="144"/>
      <c r="L3" s="4"/>
      <c r="M3" s="161"/>
      <c r="N3" s="4"/>
    </row>
    <row r="4" spans="1:15" ht="21" customHeight="1" x14ac:dyDescent="0.25">
      <c r="A4" s="53">
        <v>1</v>
      </c>
      <c r="B4" s="185" t="s">
        <v>127</v>
      </c>
      <c r="C4" s="25">
        <v>8888626131030</v>
      </c>
      <c r="D4" s="35">
        <v>108371</v>
      </c>
      <c r="E4" s="62" t="s">
        <v>64</v>
      </c>
      <c r="F4" s="30">
        <v>4</v>
      </c>
      <c r="G4" s="27">
        <v>15.9</v>
      </c>
      <c r="H4" s="27">
        <v>15.9</v>
      </c>
      <c r="I4" s="28">
        <v>200</v>
      </c>
      <c r="J4" s="14">
        <f>I4*H4</f>
        <v>3180</v>
      </c>
      <c r="K4" s="154"/>
      <c r="M4" s="105"/>
      <c r="O4" s="78"/>
    </row>
    <row r="5" spans="1:15" ht="21" customHeight="1" x14ac:dyDescent="0.25">
      <c r="A5" s="53">
        <v>2</v>
      </c>
      <c r="B5" s="192"/>
      <c r="C5" s="25">
        <v>8888626129068</v>
      </c>
      <c r="D5" s="35">
        <v>108342</v>
      </c>
      <c r="E5" s="62" t="s">
        <v>106</v>
      </c>
      <c r="F5" s="30">
        <v>4</v>
      </c>
      <c r="G5" s="27">
        <v>13.5</v>
      </c>
      <c r="H5" s="27">
        <v>13.5</v>
      </c>
      <c r="I5" s="28">
        <v>48</v>
      </c>
      <c r="J5" s="14">
        <f t="shared" ref="J5:J34" si="0">I5*H5</f>
        <v>648</v>
      </c>
      <c r="K5" s="154"/>
      <c r="M5" s="105"/>
      <c r="O5" s="78"/>
    </row>
    <row r="6" spans="1:15" ht="21" customHeight="1" x14ac:dyDescent="0.25">
      <c r="A6" s="53">
        <v>3</v>
      </c>
      <c r="B6" s="192"/>
      <c r="C6" s="25">
        <v>8888626160443</v>
      </c>
      <c r="D6" s="35">
        <v>109164</v>
      </c>
      <c r="E6" s="62" t="s">
        <v>287</v>
      </c>
      <c r="F6" s="30">
        <v>4</v>
      </c>
      <c r="G6" s="27">
        <v>7.99</v>
      </c>
      <c r="H6" s="27">
        <v>7.99</v>
      </c>
      <c r="I6" s="28">
        <v>20</v>
      </c>
      <c r="J6" s="14">
        <f t="shared" si="0"/>
        <v>159.80000000000001</v>
      </c>
      <c r="K6" s="154"/>
      <c r="M6" s="105"/>
      <c r="O6" s="78"/>
    </row>
    <row r="7" spans="1:15" ht="21" customHeight="1" x14ac:dyDescent="0.25">
      <c r="A7" s="53">
        <v>4</v>
      </c>
      <c r="B7" s="192"/>
      <c r="C7" s="25">
        <v>8888626081205</v>
      </c>
      <c r="D7" s="35">
        <v>107434</v>
      </c>
      <c r="E7" s="62" t="s">
        <v>295</v>
      </c>
      <c r="F7" s="30">
        <v>4</v>
      </c>
      <c r="G7" s="27">
        <v>12.5</v>
      </c>
      <c r="H7" s="27">
        <v>12.5</v>
      </c>
      <c r="I7" s="28">
        <v>20</v>
      </c>
      <c r="J7" s="14">
        <f t="shared" si="0"/>
        <v>250</v>
      </c>
      <c r="K7" s="154"/>
      <c r="M7" s="105"/>
      <c r="O7" s="78"/>
    </row>
    <row r="8" spans="1:15" ht="21" customHeight="1" x14ac:dyDescent="0.25">
      <c r="A8" s="53">
        <v>5</v>
      </c>
      <c r="B8" s="192"/>
      <c r="C8" s="25">
        <v>8888626102733</v>
      </c>
      <c r="D8" s="35">
        <v>107876</v>
      </c>
      <c r="E8" s="62" t="s">
        <v>229</v>
      </c>
      <c r="F8" s="30">
        <v>5</v>
      </c>
      <c r="G8" s="27">
        <v>6.99</v>
      </c>
      <c r="H8" s="27">
        <v>6.99</v>
      </c>
      <c r="I8" s="148">
        <f>10+25</f>
        <v>35</v>
      </c>
      <c r="J8" s="14">
        <f t="shared" si="0"/>
        <v>244.65</v>
      </c>
      <c r="K8" s="154"/>
      <c r="M8" s="105"/>
      <c r="O8" s="78"/>
    </row>
    <row r="9" spans="1:15" ht="21" customHeight="1" x14ac:dyDescent="0.25">
      <c r="A9" s="53">
        <v>6</v>
      </c>
      <c r="B9" s="192"/>
      <c r="C9" s="25">
        <v>8888626011240</v>
      </c>
      <c r="D9" s="35">
        <v>105508</v>
      </c>
      <c r="E9" s="62" t="s">
        <v>296</v>
      </c>
      <c r="F9" s="30">
        <v>20</v>
      </c>
      <c r="G9" s="27">
        <v>1.99</v>
      </c>
      <c r="H9" s="27">
        <v>1.99</v>
      </c>
      <c r="I9" s="28">
        <v>40</v>
      </c>
      <c r="J9" s="14">
        <f t="shared" si="0"/>
        <v>79.599999999999994</v>
      </c>
      <c r="K9" s="154"/>
      <c r="M9" s="105"/>
      <c r="O9" s="78"/>
    </row>
    <row r="10" spans="1:15" ht="21" customHeight="1" x14ac:dyDescent="0.25">
      <c r="A10" s="53">
        <v>7</v>
      </c>
      <c r="B10" s="192"/>
      <c r="C10" s="25">
        <v>8888626155234</v>
      </c>
      <c r="D10" s="35">
        <v>109017</v>
      </c>
      <c r="E10" s="62" t="s">
        <v>159</v>
      </c>
      <c r="F10" s="30">
        <v>3</v>
      </c>
      <c r="G10" s="27">
        <v>7.65</v>
      </c>
      <c r="H10" s="27">
        <v>7.65</v>
      </c>
      <c r="I10" s="149">
        <f>60+219</f>
        <v>279</v>
      </c>
      <c r="J10" s="14">
        <f t="shared" si="0"/>
        <v>2134.35</v>
      </c>
      <c r="K10" s="154"/>
      <c r="M10" s="105"/>
      <c r="O10" s="78"/>
    </row>
    <row r="11" spans="1:15" ht="21" customHeight="1" x14ac:dyDescent="0.25">
      <c r="A11" s="53">
        <v>8</v>
      </c>
      <c r="B11" s="192"/>
      <c r="C11" s="25">
        <v>8888626138664</v>
      </c>
      <c r="D11" s="35">
        <v>108505</v>
      </c>
      <c r="E11" s="62" t="s">
        <v>89</v>
      </c>
      <c r="F11" s="30">
        <v>4</v>
      </c>
      <c r="G11" s="27">
        <v>13.5</v>
      </c>
      <c r="H11" s="27">
        <v>13.5</v>
      </c>
      <c r="I11" s="29">
        <v>172</v>
      </c>
      <c r="J11" s="14">
        <f t="shared" si="0"/>
        <v>2322</v>
      </c>
      <c r="K11" s="154"/>
      <c r="M11" s="105"/>
      <c r="O11" s="78"/>
    </row>
    <row r="12" spans="1:15" ht="21" customHeight="1" x14ac:dyDescent="0.25">
      <c r="A12" s="53">
        <v>9</v>
      </c>
      <c r="B12" s="192"/>
      <c r="C12" s="35" t="s">
        <v>47</v>
      </c>
      <c r="D12" s="35">
        <v>107877</v>
      </c>
      <c r="E12" s="62" t="s">
        <v>57</v>
      </c>
      <c r="F12" s="30">
        <v>6</v>
      </c>
      <c r="G12" s="27">
        <v>12.99</v>
      </c>
      <c r="H12" s="27">
        <v>12.99</v>
      </c>
      <c r="I12" s="28">
        <v>150</v>
      </c>
      <c r="J12" s="14">
        <f t="shared" si="0"/>
        <v>1948.5</v>
      </c>
      <c r="K12" s="154"/>
      <c r="M12" s="105"/>
      <c r="O12" s="78"/>
    </row>
    <row r="13" spans="1:15" ht="21" customHeight="1" x14ac:dyDescent="0.25">
      <c r="A13" s="53">
        <v>10</v>
      </c>
      <c r="B13" s="192"/>
      <c r="C13" s="25">
        <v>8888626129105</v>
      </c>
      <c r="D13" s="35">
        <v>108355</v>
      </c>
      <c r="E13" s="62" t="s">
        <v>90</v>
      </c>
      <c r="F13" s="30">
        <v>10</v>
      </c>
      <c r="G13" s="27">
        <v>4.25</v>
      </c>
      <c r="H13" s="27">
        <v>4.25</v>
      </c>
      <c r="I13" s="28">
        <v>10</v>
      </c>
      <c r="J13" s="14">
        <f t="shared" si="0"/>
        <v>42.5</v>
      </c>
      <c r="K13" s="154"/>
      <c r="M13" s="105"/>
      <c r="O13" s="78"/>
    </row>
    <row r="14" spans="1:15" ht="21" customHeight="1" x14ac:dyDescent="0.25">
      <c r="A14" s="53">
        <v>11</v>
      </c>
      <c r="B14" s="192"/>
      <c r="C14" s="25">
        <v>8888626129075</v>
      </c>
      <c r="D14" s="35">
        <v>108352</v>
      </c>
      <c r="E14" s="62" t="s">
        <v>173</v>
      </c>
      <c r="F14" s="30">
        <v>10</v>
      </c>
      <c r="G14" s="27">
        <v>6.5</v>
      </c>
      <c r="H14" s="27">
        <v>6.5</v>
      </c>
      <c r="I14" s="28">
        <v>20</v>
      </c>
      <c r="J14" s="14">
        <f t="shared" si="0"/>
        <v>130</v>
      </c>
      <c r="K14" s="154"/>
      <c r="M14" s="105"/>
      <c r="O14" s="78"/>
    </row>
    <row r="15" spans="1:15" ht="21" customHeight="1" x14ac:dyDescent="0.25">
      <c r="A15" s="53">
        <v>12</v>
      </c>
      <c r="B15" s="192"/>
      <c r="C15" s="25" t="s">
        <v>311</v>
      </c>
      <c r="D15" s="35">
        <v>107802</v>
      </c>
      <c r="E15" s="62" t="s">
        <v>312</v>
      </c>
      <c r="F15" s="30">
        <v>10</v>
      </c>
      <c r="G15" s="27">
        <v>8.9</v>
      </c>
      <c r="H15" s="27">
        <v>8.9</v>
      </c>
      <c r="I15" s="28">
        <v>30</v>
      </c>
      <c r="J15" s="14">
        <f t="shared" si="0"/>
        <v>267</v>
      </c>
      <c r="K15" s="154"/>
      <c r="M15" s="105"/>
      <c r="O15" s="78"/>
    </row>
    <row r="16" spans="1:15" ht="21" customHeight="1" x14ac:dyDescent="0.25">
      <c r="A16" s="53">
        <v>13</v>
      </c>
      <c r="B16" s="192"/>
      <c r="C16" s="25">
        <v>8888626095479</v>
      </c>
      <c r="D16" s="35">
        <v>107752</v>
      </c>
      <c r="E16" s="62" t="s">
        <v>357</v>
      </c>
      <c r="F16" s="30">
        <v>10</v>
      </c>
      <c r="G16" s="27">
        <v>8.75</v>
      </c>
      <c r="H16" s="27">
        <v>8.75</v>
      </c>
      <c r="I16" s="28">
        <v>30</v>
      </c>
      <c r="J16" s="14">
        <f t="shared" si="0"/>
        <v>262.5</v>
      </c>
      <c r="K16" s="154"/>
      <c r="M16" s="105"/>
      <c r="O16" s="78"/>
    </row>
    <row r="17" spans="1:15" ht="21" customHeight="1" x14ac:dyDescent="0.25">
      <c r="A17" s="53">
        <v>14</v>
      </c>
      <c r="B17" s="186"/>
      <c r="C17" s="25">
        <v>8888626154985</v>
      </c>
      <c r="D17" s="35">
        <v>108979</v>
      </c>
      <c r="E17" s="62" t="s">
        <v>172</v>
      </c>
      <c r="F17" s="52">
        <v>6</v>
      </c>
      <c r="G17" s="27">
        <v>7.8</v>
      </c>
      <c r="H17" s="27">
        <v>7.8</v>
      </c>
      <c r="I17" s="28">
        <v>30</v>
      </c>
      <c r="J17" s="14">
        <f t="shared" si="0"/>
        <v>234</v>
      </c>
      <c r="K17" s="154"/>
      <c r="M17" s="105"/>
      <c r="O17" s="78"/>
    </row>
    <row r="18" spans="1:15" ht="21" customHeight="1" x14ac:dyDescent="0.25">
      <c r="A18" s="53">
        <v>15</v>
      </c>
      <c r="B18" s="185" t="s">
        <v>216</v>
      </c>
      <c r="C18" s="25">
        <v>8888626140292</v>
      </c>
      <c r="D18" s="35">
        <v>108614</v>
      </c>
      <c r="E18" s="62" t="s">
        <v>270</v>
      </c>
      <c r="F18" s="52">
        <v>12</v>
      </c>
      <c r="G18" s="27">
        <v>6.5</v>
      </c>
      <c r="H18" s="27">
        <v>6.5</v>
      </c>
      <c r="I18" s="28">
        <v>12</v>
      </c>
      <c r="J18" s="14">
        <f t="shared" si="0"/>
        <v>78</v>
      </c>
      <c r="K18" s="154"/>
      <c r="M18" s="105"/>
      <c r="O18" s="78"/>
    </row>
    <row r="19" spans="1:15" ht="21" customHeight="1" x14ac:dyDescent="0.25">
      <c r="A19" s="53">
        <v>16</v>
      </c>
      <c r="B19" s="192"/>
      <c r="C19" s="25" t="s">
        <v>230</v>
      </c>
      <c r="D19" s="35">
        <v>108086</v>
      </c>
      <c r="E19" s="62" t="s">
        <v>231</v>
      </c>
      <c r="F19" s="52">
        <v>12</v>
      </c>
      <c r="G19" s="27">
        <v>7.9</v>
      </c>
      <c r="H19" s="27">
        <v>7.9</v>
      </c>
      <c r="I19" s="28">
        <v>36</v>
      </c>
      <c r="J19" s="14">
        <f t="shared" si="0"/>
        <v>284.40000000000003</v>
      </c>
      <c r="K19" s="154"/>
      <c r="M19" s="105"/>
      <c r="O19" s="78"/>
    </row>
    <row r="20" spans="1:15" ht="21" customHeight="1" x14ac:dyDescent="0.25">
      <c r="A20" s="53">
        <v>17</v>
      </c>
      <c r="B20" s="192"/>
      <c r="C20" s="25" t="s">
        <v>235</v>
      </c>
      <c r="D20" s="35">
        <v>109366</v>
      </c>
      <c r="E20" s="62" t="s">
        <v>236</v>
      </c>
      <c r="F20" s="52">
        <v>12</v>
      </c>
      <c r="G20" s="27">
        <v>5.9</v>
      </c>
      <c r="H20" s="27">
        <v>5.9</v>
      </c>
      <c r="I20" s="28">
        <v>12</v>
      </c>
      <c r="J20" s="14">
        <f t="shared" si="0"/>
        <v>70.800000000000011</v>
      </c>
      <c r="K20" s="154"/>
      <c r="M20" s="105"/>
      <c r="O20" s="78"/>
    </row>
    <row r="21" spans="1:15" ht="21" customHeight="1" x14ac:dyDescent="0.25">
      <c r="A21" s="53">
        <v>18</v>
      </c>
      <c r="B21" s="192"/>
      <c r="C21" s="25" t="s">
        <v>232</v>
      </c>
      <c r="D21" s="35">
        <v>109367</v>
      </c>
      <c r="E21" s="62" t="s">
        <v>233</v>
      </c>
      <c r="F21" s="52">
        <v>6</v>
      </c>
      <c r="G21" s="27">
        <v>13.9</v>
      </c>
      <c r="H21" s="27">
        <v>13.9</v>
      </c>
      <c r="I21" s="28">
        <v>48</v>
      </c>
      <c r="J21" s="14">
        <f t="shared" si="0"/>
        <v>667.2</v>
      </c>
      <c r="K21" s="154"/>
      <c r="M21" s="105"/>
      <c r="O21" s="78"/>
    </row>
    <row r="22" spans="1:15" ht="21" customHeight="1" x14ac:dyDescent="0.25">
      <c r="A22" s="53">
        <v>19</v>
      </c>
      <c r="B22" s="192"/>
      <c r="C22" s="25" t="s">
        <v>271</v>
      </c>
      <c r="D22" s="35">
        <v>108212</v>
      </c>
      <c r="E22" s="62" t="s">
        <v>272</v>
      </c>
      <c r="F22" s="52">
        <v>6</v>
      </c>
      <c r="G22" s="27">
        <v>13.9</v>
      </c>
      <c r="H22" s="27">
        <v>13.9</v>
      </c>
      <c r="I22" s="28">
        <v>36</v>
      </c>
      <c r="J22" s="14">
        <f t="shared" si="0"/>
        <v>500.40000000000003</v>
      </c>
      <c r="K22" s="154"/>
      <c r="M22" s="105"/>
      <c r="O22" s="78"/>
    </row>
    <row r="23" spans="1:15" ht="21" customHeight="1" x14ac:dyDescent="0.25">
      <c r="A23" s="53">
        <v>20</v>
      </c>
      <c r="B23" s="192"/>
      <c r="C23" s="25">
        <v>8888626115139</v>
      </c>
      <c r="D23" s="35">
        <v>108085</v>
      </c>
      <c r="E23" s="62" t="s">
        <v>234</v>
      </c>
      <c r="F23" s="52">
        <v>6</v>
      </c>
      <c r="G23" s="27">
        <v>19.989999999999998</v>
      </c>
      <c r="H23" s="27">
        <v>19.989999999999998</v>
      </c>
      <c r="I23" s="28">
        <v>48</v>
      </c>
      <c r="J23" s="14">
        <f t="shared" si="0"/>
        <v>959.52</v>
      </c>
      <c r="K23" s="154"/>
      <c r="M23" s="105"/>
      <c r="O23" s="78"/>
    </row>
    <row r="24" spans="1:15" ht="21" customHeight="1" x14ac:dyDescent="0.25">
      <c r="A24" s="53">
        <v>21</v>
      </c>
      <c r="B24" s="192"/>
      <c r="C24" s="60">
        <v>8888626118949</v>
      </c>
      <c r="D24" s="35">
        <v>108213</v>
      </c>
      <c r="E24" s="62" t="s">
        <v>237</v>
      </c>
      <c r="F24" s="52">
        <v>6</v>
      </c>
      <c r="G24" s="27">
        <v>19.989999999999998</v>
      </c>
      <c r="H24" s="27">
        <v>19.989999999999998</v>
      </c>
      <c r="I24" s="28">
        <v>36</v>
      </c>
      <c r="J24" s="14">
        <f t="shared" si="0"/>
        <v>719.64</v>
      </c>
      <c r="K24" s="154"/>
      <c r="M24" s="105"/>
      <c r="O24" s="78"/>
    </row>
    <row r="25" spans="1:15" ht="21" customHeight="1" x14ac:dyDescent="0.25">
      <c r="A25" s="53">
        <v>22</v>
      </c>
      <c r="B25" s="192"/>
      <c r="C25" s="60">
        <v>8888626174518</v>
      </c>
      <c r="D25" s="35">
        <v>109620</v>
      </c>
      <c r="E25" s="62" t="s">
        <v>358</v>
      </c>
      <c r="F25" s="52">
        <v>6</v>
      </c>
      <c r="G25" s="27">
        <v>10.8</v>
      </c>
      <c r="H25" s="27">
        <v>10.8</v>
      </c>
      <c r="I25" s="28">
        <v>60</v>
      </c>
      <c r="J25" s="14">
        <f t="shared" si="0"/>
        <v>648</v>
      </c>
      <c r="K25" s="154"/>
      <c r="M25" s="105"/>
      <c r="O25" s="78"/>
    </row>
    <row r="26" spans="1:15" ht="21" customHeight="1" x14ac:dyDescent="0.25">
      <c r="A26" s="53">
        <v>23</v>
      </c>
      <c r="B26" s="192"/>
      <c r="C26" s="60">
        <v>8888626095042</v>
      </c>
      <c r="D26" s="35">
        <v>107737</v>
      </c>
      <c r="E26" s="62" t="s">
        <v>161</v>
      </c>
      <c r="F26" s="30">
        <v>6</v>
      </c>
      <c r="G26" s="27">
        <v>8.5</v>
      </c>
      <c r="H26" s="27">
        <v>8.5</v>
      </c>
      <c r="I26" s="28">
        <v>24</v>
      </c>
      <c r="J26" s="14">
        <f t="shared" si="0"/>
        <v>204</v>
      </c>
      <c r="K26" s="154"/>
      <c r="M26" s="105"/>
      <c r="O26" s="78"/>
    </row>
    <row r="27" spans="1:15" ht="21" customHeight="1" x14ac:dyDescent="0.25">
      <c r="A27" s="53">
        <v>24</v>
      </c>
      <c r="B27" s="192"/>
      <c r="C27" s="60">
        <v>8888626095059</v>
      </c>
      <c r="D27" s="35">
        <v>107738</v>
      </c>
      <c r="E27" s="62" t="s">
        <v>107</v>
      </c>
      <c r="F27" s="30">
        <v>4</v>
      </c>
      <c r="G27" s="27">
        <v>19.95</v>
      </c>
      <c r="H27" s="27">
        <v>19.95</v>
      </c>
      <c r="I27" s="28">
        <v>20</v>
      </c>
      <c r="J27" s="14">
        <f t="shared" si="0"/>
        <v>399</v>
      </c>
      <c r="K27" s="154"/>
      <c r="M27" s="105"/>
      <c r="O27" s="78"/>
    </row>
    <row r="28" spans="1:15" ht="21" customHeight="1" x14ac:dyDescent="0.25">
      <c r="A28" s="53">
        <v>25</v>
      </c>
      <c r="B28" s="192"/>
      <c r="C28" s="60">
        <v>8888626017372</v>
      </c>
      <c r="D28" s="35">
        <v>105732</v>
      </c>
      <c r="E28" s="62" t="s">
        <v>215</v>
      </c>
      <c r="F28" s="30">
        <v>4</v>
      </c>
      <c r="G28" s="27">
        <v>10.95</v>
      </c>
      <c r="H28" s="27">
        <v>10.95</v>
      </c>
      <c r="I28" s="28">
        <v>152</v>
      </c>
      <c r="J28" s="14">
        <f t="shared" si="0"/>
        <v>1664.3999999999999</v>
      </c>
      <c r="K28" s="154"/>
      <c r="M28" s="105"/>
      <c r="O28" s="78"/>
    </row>
    <row r="29" spans="1:15" ht="21" customHeight="1" x14ac:dyDescent="0.25">
      <c r="A29" s="53">
        <v>26</v>
      </c>
      <c r="B29" s="192"/>
      <c r="C29" s="60">
        <v>8888626157122</v>
      </c>
      <c r="D29" s="35">
        <v>109053</v>
      </c>
      <c r="E29" s="62" t="s">
        <v>214</v>
      </c>
      <c r="F29" s="30">
        <v>6</v>
      </c>
      <c r="G29" s="27">
        <v>8.5</v>
      </c>
      <c r="H29" s="27">
        <v>8.5</v>
      </c>
      <c r="I29" s="28">
        <v>72</v>
      </c>
      <c r="J29" s="14">
        <f t="shared" si="0"/>
        <v>612</v>
      </c>
      <c r="K29" s="154"/>
      <c r="M29" s="105"/>
      <c r="O29" s="78"/>
    </row>
    <row r="30" spans="1:15" ht="21" customHeight="1" x14ac:dyDescent="0.25">
      <c r="A30" s="53">
        <v>27</v>
      </c>
      <c r="B30" s="192"/>
      <c r="C30" s="60">
        <v>8888626105000</v>
      </c>
      <c r="D30" s="35">
        <v>107919</v>
      </c>
      <c r="E30" s="62" t="s">
        <v>52</v>
      </c>
      <c r="F30" s="30">
        <v>6</v>
      </c>
      <c r="G30" s="27">
        <v>10.95</v>
      </c>
      <c r="H30" s="27">
        <v>10.95</v>
      </c>
      <c r="I30" s="28">
        <v>36</v>
      </c>
      <c r="J30" s="14">
        <f t="shared" si="0"/>
        <v>394.2</v>
      </c>
      <c r="K30" s="154"/>
      <c r="M30" s="105"/>
      <c r="O30" s="78"/>
    </row>
    <row r="31" spans="1:15" ht="21" customHeight="1" x14ac:dyDescent="0.25">
      <c r="A31" s="53">
        <v>28</v>
      </c>
      <c r="B31" s="192"/>
      <c r="C31" s="60">
        <v>8888626104980</v>
      </c>
      <c r="D31" s="35">
        <v>107917</v>
      </c>
      <c r="E31" s="62" t="s">
        <v>313</v>
      </c>
      <c r="F31" s="30">
        <v>4</v>
      </c>
      <c r="G31" s="27">
        <v>8.9</v>
      </c>
      <c r="H31" s="27">
        <v>8.9</v>
      </c>
      <c r="I31" s="28">
        <v>68</v>
      </c>
      <c r="J31" s="14">
        <f t="shared" si="0"/>
        <v>605.20000000000005</v>
      </c>
      <c r="K31" s="154"/>
      <c r="M31" s="105"/>
      <c r="O31" s="78"/>
    </row>
    <row r="32" spans="1:15" ht="21" customHeight="1" x14ac:dyDescent="0.25">
      <c r="A32" s="53">
        <v>29</v>
      </c>
      <c r="B32" s="192"/>
      <c r="C32" s="60">
        <v>8888626080628</v>
      </c>
      <c r="D32" s="35">
        <v>107371</v>
      </c>
      <c r="E32" s="62" t="s">
        <v>141</v>
      </c>
      <c r="F32" s="30">
        <v>4</v>
      </c>
      <c r="G32" s="27">
        <v>9.65</v>
      </c>
      <c r="H32" s="27">
        <v>9.65</v>
      </c>
      <c r="I32" s="28">
        <v>152</v>
      </c>
      <c r="J32" s="14">
        <f t="shared" si="0"/>
        <v>1466.8</v>
      </c>
      <c r="K32" s="154"/>
      <c r="M32" s="105"/>
      <c r="O32" s="78"/>
    </row>
    <row r="33" spans="1:15" ht="21" customHeight="1" x14ac:dyDescent="0.25">
      <c r="A33" s="53">
        <v>30</v>
      </c>
      <c r="B33" s="192"/>
      <c r="C33" s="60">
        <v>8888626044224</v>
      </c>
      <c r="D33" s="35">
        <v>106166</v>
      </c>
      <c r="E33" s="62" t="s">
        <v>199</v>
      </c>
      <c r="F33" s="30">
        <v>6</v>
      </c>
      <c r="G33" s="27">
        <v>4.95</v>
      </c>
      <c r="H33" s="27">
        <v>4.95</v>
      </c>
      <c r="I33" s="150">
        <f>130+128</f>
        <v>258</v>
      </c>
      <c r="J33" s="14">
        <f t="shared" si="0"/>
        <v>1277.1000000000001</v>
      </c>
      <c r="K33" s="154"/>
      <c r="M33" s="105"/>
      <c r="O33" s="78"/>
    </row>
    <row r="34" spans="1:15" ht="21" customHeight="1" x14ac:dyDescent="0.25">
      <c r="A34" s="53">
        <v>31</v>
      </c>
      <c r="B34" s="186"/>
      <c r="C34" s="25">
        <v>8888626044194</v>
      </c>
      <c r="D34" s="35">
        <v>106163</v>
      </c>
      <c r="E34" s="62" t="s">
        <v>140</v>
      </c>
      <c r="F34" s="30">
        <v>6</v>
      </c>
      <c r="G34" s="27">
        <v>5.95</v>
      </c>
      <c r="H34" s="27">
        <v>5.95</v>
      </c>
      <c r="I34" s="100">
        <v>24</v>
      </c>
      <c r="J34" s="14">
        <f t="shared" si="0"/>
        <v>142.80000000000001</v>
      </c>
      <c r="K34" s="154"/>
      <c r="M34" s="105"/>
      <c r="O34" s="78"/>
    </row>
    <row r="35" spans="1:15" ht="21" customHeight="1" x14ac:dyDescent="0.25">
      <c r="A35" s="173" t="s">
        <v>16</v>
      </c>
      <c r="B35" s="183"/>
      <c r="C35" s="183"/>
      <c r="D35" s="183"/>
      <c r="E35" s="183"/>
      <c r="F35" s="183"/>
      <c r="G35" s="183"/>
      <c r="H35" s="183"/>
      <c r="I35" s="168"/>
      <c r="J35" s="15">
        <f>SUM(J4:J34)</f>
        <v>22596.36</v>
      </c>
    </row>
    <row r="36" spans="1:15" ht="21" customHeight="1" x14ac:dyDescent="0.25">
      <c r="A36" s="11"/>
      <c r="B36" s="12"/>
      <c r="C36" s="12"/>
      <c r="D36" s="12"/>
      <c r="E36" s="10"/>
      <c r="F36" s="11"/>
      <c r="G36" s="10"/>
      <c r="H36" s="11"/>
      <c r="I36" s="5"/>
      <c r="J36" s="10"/>
    </row>
    <row r="37" spans="1:15" ht="21" customHeight="1" x14ac:dyDescent="0.25">
      <c r="A37" s="11"/>
      <c r="B37" s="12"/>
      <c r="C37" s="12"/>
      <c r="D37" s="12"/>
      <c r="E37" s="10"/>
      <c r="F37" s="11"/>
      <c r="G37" s="77"/>
      <c r="H37" s="77"/>
      <c r="I37" s="5"/>
      <c r="J37" s="10"/>
    </row>
    <row r="38" spans="1:15" ht="21" customHeight="1" x14ac:dyDescent="0.25">
      <c r="A38" s="11"/>
      <c r="B38" s="12"/>
      <c r="C38" s="12"/>
      <c r="D38" s="12"/>
      <c r="E38" s="10"/>
      <c r="F38" s="11"/>
      <c r="G38" s="10"/>
      <c r="H38" s="11"/>
      <c r="I38" s="5"/>
      <c r="J38" s="10"/>
    </row>
    <row r="39" spans="1:15" ht="21" customHeight="1" x14ac:dyDescent="0.25">
      <c r="A39" s="11"/>
      <c r="B39" s="12"/>
      <c r="C39" s="12"/>
      <c r="D39" s="12"/>
      <c r="E39" s="10"/>
      <c r="F39" s="11"/>
      <c r="G39" s="10"/>
      <c r="H39" s="11"/>
      <c r="I39" s="5"/>
      <c r="J39" s="10"/>
    </row>
    <row r="40" spans="1:15" ht="21" customHeight="1" x14ac:dyDescent="0.25">
      <c r="A40" s="11"/>
      <c r="B40" s="12"/>
      <c r="C40" s="12"/>
      <c r="D40" s="12"/>
      <c r="E40" s="10"/>
      <c r="F40" s="11"/>
      <c r="G40" s="10"/>
      <c r="H40" s="11"/>
      <c r="I40" s="5"/>
      <c r="J40" s="10"/>
    </row>
    <row r="41" spans="1:15" ht="21" customHeight="1" x14ac:dyDescent="0.25">
      <c r="A41" s="11"/>
      <c r="B41" s="12"/>
      <c r="C41" s="12"/>
      <c r="D41" s="12"/>
      <c r="E41" s="10"/>
      <c r="F41" s="11"/>
      <c r="G41" s="10"/>
      <c r="H41" s="11"/>
      <c r="I41" s="5"/>
      <c r="J41" s="10"/>
    </row>
    <row r="42" spans="1:15" ht="21" customHeight="1" x14ac:dyDescent="0.25">
      <c r="A42" s="11"/>
      <c r="B42" s="12"/>
      <c r="C42" s="12"/>
      <c r="D42" s="12"/>
      <c r="E42" s="10"/>
      <c r="F42" s="11"/>
      <c r="G42" s="10"/>
      <c r="H42" s="11"/>
      <c r="I42" s="5"/>
      <c r="J42" s="10"/>
    </row>
    <row r="43" spans="1:15" ht="21" customHeight="1" x14ac:dyDescent="0.25">
      <c r="A43" s="11"/>
      <c r="B43" s="12"/>
      <c r="C43" s="12"/>
      <c r="D43" s="12"/>
      <c r="E43" s="10"/>
      <c r="F43" s="11"/>
      <c r="G43" s="10"/>
      <c r="H43" s="11"/>
      <c r="I43" s="5"/>
      <c r="J43" s="10"/>
    </row>
    <row r="44" spans="1:15" ht="21" customHeight="1" x14ac:dyDescent="0.25">
      <c r="A44" s="11"/>
      <c r="B44" s="12"/>
      <c r="C44" s="12"/>
      <c r="D44" s="12"/>
      <c r="E44" s="10"/>
      <c r="F44" s="11"/>
      <c r="G44" s="10"/>
      <c r="H44" s="11"/>
      <c r="I44" s="5"/>
      <c r="J44" s="10"/>
    </row>
    <row r="45" spans="1:15" ht="21" customHeight="1" x14ac:dyDescent="0.25">
      <c r="A45" s="11"/>
      <c r="B45" s="12"/>
      <c r="C45" s="12"/>
      <c r="D45" s="12"/>
      <c r="E45" s="10"/>
      <c r="F45" s="11"/>
      <c r="G45" s="10"/>
      <c r="H45" s="11"/>
      <c r="I45" s="5"/>
      <c r="J45" s="10"/>
    </row>
    <row r="46" spans="1:15" ht="21" customHeight="1" x14ac:dyDescent="0.25">
      <c r="A46" s="11"/>
      <c r="B46" s="12"/>
      <c r="C46" s="12"/>
      <c r="D46" s="12"/>
      <c r="E46" s="10"/>
      <c r="F46" s="11"/>
      <c r="G46" s="10"/>
      <c r="H46" s="11"/>
      <c r="I46" s="5"/>
      <c r="J46" s="10"/>
    </row>
    <row r="47" spans="1:15" ht="21" customHeight="1" x14ac:dyDescent="0.25">
      <c r="A47" s="11"/>
      <c r="B47" s="12"/>
      <c r="C47" s="12"/>
      <c r="D47" s="12"/>
      <c r="E47" s="10"/>
      <c r="F47" s="11"/>
      <c r="G47" s="10"/>
      <c r="H47" s="11"/>
      <c r="I47" s="5"/>
      <c r="J47" s="10"/>
    </row>
    <row r="48" spans="1:15" ht="21" customHeight="1" x14ac:dyDescent="0.25">
      <c r="A48" s="11"/>
      <c r="B48" s="12"/>
      <c r="C48" s="12"/>
      <c r="D48" s="12"/>
      <c r="E48" s="10"/>
      <c r="F48" s="11"/>
      <c r="G48" s="10"/>
      <c r="H48" s="11"/>
      <c r="I48" s="5"/>
      <c r="J48" s="10"/>
    </row>
    <row r="49" spans="1:10" ht="21" customHeight="1" x14ac:dyDescent="0.25">
      <c r="A49" s="11"/>
      <c r="B49" s="12"/>
      <c r="C49" s="12"/>
      <c r="D49" s="12"/>
      <c r="E49" s="10"/>
      <c r="F49" s="11"/>
      <c r="G49" s="10"/>
      <c r="H49" s="11"/>
      <c r="I49" s="5"/>
      <c r="J49" s="10"/>
    </row>
    <row r="50" spans="1:10" ht="21" customHeight="1" x14ac:dyDescent="0.25">
      <c r="A50" s="11"/>
      <c r="B50" s="12"/>
      <c r="C50" s="12"/>
      <c r="D50" s="12"/>
      <c r="E50" s="10"/>
      <c r="F50" s="11"/>
      <c r="G50" s="10"/>
      <c r="H50" s="11"/>
      <c r="I50" s="5"/>
      <c r="J50" s="10"/>
    </row>
    <row r="51" spans="1:10" ht="21" customHeight="1" x14ac:dyDescent="0.25">
      <c r="A51" s="11"/>
      <c r="B51" s="12"/>
      <c r="C51" s="12"/>
      <c r="D51" s="12"/>
      <c r="E51" s="10"/>
      <c r="F51" s="11"/>
      <c r="G51" s="10"/>
      <c r="H51" s="11"/>
      <c r="I51" s="5"/>
      <c r="J51" s="10"/>
    </row>
    <row r="52" spans="1:10" ht="21" customHeight="1" x14ac:dyDescent="0.25">
      <c r="A52" s="11"/>
      <c r="B52" s="12"/>
      <c r="C52" s="12"/>
      <c r="D52" s="12"/>
      <c r="E52" s="10"/>
      <c r="F52" s="11"/>
      <c r="G52" s="10"/>
      <c r="H52" s="11"/>
      <c r="I52" s="5"/>
      <c r="J52" s="10"/>
    </row>
    <row r="53" spans="1:10" ht="21" customHeight="1" x14ac:dyDescent="0.25">
      <c r="A53" s="11"/>
      <c r="B53" s="12"/>
      <c r="C53" s="12"/>
      <c r="D53" s="12"/>
      <c r="E53" s="10"/>
      <c r="F53" s="11"/>
      <c r="G53" s="10"/>
      <c r="H53" s="11"/>
      <c r="I53" s="5"/>
      <c r="J53" s="10"/>
    </row>
    <row r="54" spans="1:10" ht="21" customHeight="1" x14ac:dyDescent="0.25">
      <c r="A54" s="11"/>
      <c r="B54" s="12"/>
      <c r="C54" s="12"/>
      <c r="D54" s="12"/>
      <c r="E54" s="10"/>
      <c r="F54" s="11"/>
      <c r="G54" s="10"/>
      <c r="H54" s="11"/>
      <c r="I54" s="5"/>
      <c r="J54" s="10"/>
    </row>
    <row r="55" spans="1:10" ht="21" customHeight="1" x14ac:dyDescent="0.25">
      <c r="A55" s="11"/>
      <c r="B55" s="12"/>
      <c r="C55" s="12"/>
      <c r="D55" s="12"/>
      <c r="E55" s="10"/>
      <c r="F55" s="11"/>
      <c r="G55" s="10"/>
      <c r="H55" s="11"/>
      <c r="I55" s="5"/>
      <c r="J55" s="10"/>
    </row>
    <row r="56" spans="1:10" ht="21" customHeight="1" x14ac:dyDescent="0.25">
      <c r="A56" s="11"/>
      <c r="B56" s="12"/>
      <c r="C56" s="12"/>
      <c r="D56" s="12"/>
      <c r="E56" s="10"/>
      <c r="F56" s="11"/>
      <c r="G56" s="10"/>
      <c r="H56" s="11"/>
      <c r="I56" s="5"/>
      <c r="J56" s="10"/>
    </row>
    <row r="57" spans="1:10" ht="21" customHeight="1" x14ac:dyDescent="0.25">
      <c r="A57" s="11"/>
      <c r="B57" s="12"/>
      <c r="C57" s="12"/>
      <c r="D57" s="12"/>
      <c r="E57" s="10"/>
      <c r="F57" s="11"/>
      <c r="G57" s="10"/>
      <c r="H57" s="11"/>
      <c r="I57" s="5"/>
      <c r="J57" s="10"/>
    </row>
    <row r="58" spans="1:10" ht="21" customHeight="1" x14ac:dyDescent="0.25">
      <c r="A58" s="11"/>
      <c r="B58" s="12"/>
      <c r="C58" s="12"/>
      <c r="D58" s="12"/>
      <c r="E58" s="10"/>
      <c r="F58" s="11"/>
      <c r="G58" s="10"/>
      <c r="H58" s="11"/>
      <c r="I58" s="5"/>
      <c r="J58" s="10"/>
    </row>
    <row r="59" spans="1:10" ht="21" customHeight="1" x14ac:dyDescent="0.25">
      <c r="A59" s="11"/>
      <c r="B59" s="12"/>
      <c r="C59" s="12"/>
      <c r="D59" s="12"/>
      <c r="E59" s="10"/>
      <c r="F59" s="11"/>
      <c r="G59" s="10"/>
      <c r="H59" s="11"/>
      <c r="I59" s="5"/>
      <c r="J59" s="10"/>
    </row>
    <row r="60" spans="1:10" ht="21" customHeight="1" x14ac:dyDescent="0.25">
      <c r="A60" s="11"/>
      <c r="B60" s="12"/>
      <c r="C60" s="12"/>
      <c r="D60" s="12"/>
      <c r="E60" s="10"/>
      <c r="F60" s="11"/>
      <c r="G60" s="10"/>
      <c r="H60" s="11"/>
      <c r="I60" s="5"/>
      <c r="J60" s="10"/>
    </row>
    <row r="61" spans="1:10" ht="21" customHeight="1" x14ac:dyDescent="0.25">
      <c r="A61" s="11"/>
      <c r="B61" s="12"/>
      <c r="C61" s="12"/>
      <c r="D61" s="12"/>
      <c r="E61" s="10"/>
      <c r="F61" s="11"/>
      <c r="G61" s="10"/>
      <c r="H61" s="11"/>
      <c r="I61" s="5"/>
      <c r="J61" s="10"/>
    </row>
    <row r="62" spans="1:10" ht="21" customHeight="1" x14ac:dyDescent="0.25">
      <c r="A62" s="11"/>
      <c r="B62" s="12"/>
      <c r="C62" s="12"/>
      <c r="D62" s="12"/>
      <c r="E62" s="10"/>
      <c r="F62" s="11"/>
      <c r="G62" s="10"/>
      <c r="H62" s="11"/>
      <c r="I62" s="5"/>
      <c r="J62" s="10"/>
    </row>
    <row r="63" spans="1:10" ht="21" customHeight="1" x14ac:dyDescent="0.25">
      <c r="A63" s="11"/>
      <c r="B63" s="12"/>
      <c r="C63" s="12"/>
      <c r="D63" s="12"/>
      <c r="E63" s="10"/>
      <c r="F63" s="11"/>
      <c r="G63" s="10"/>
      <c r="H63" s="11"/>
      <c r="I63" s="5"/>
      <c r="J63" s="10"/>
    </row>
    <row r="64" spans="1:10" ht="21" customHeight="1" x14ac:dyDescent="0.25">
      <c r="A64" s="11"/>
      <c r="B64" s="12"/>
      <c r="C64" s="12"/>
      <c r="D64" s="12"/>
      <c r="E64" s="10"/>
      <c r="F64" s="11"/>
      <c r="G64" s="10"/>
      <c r="H64" s="11"/>
      <c r="I64" s="5"/>
      <c r="J64" s="10"/>
    </row>
    <row r="65" spans="1:10" ht="21" customHeight="1" x14ac:dyDescent="0.25">
      <c r="A65" s="11"/>
      <c r="B65" s="12"/>
      <c r="C65" s="12"/>
      <c r="D65" s="12"/>
      <c r="E65" s="10"/>
      <c r="F65" s="11"/>
      <c r="G65" s="10"/>
      <c r="H65" s="11"/>
      <c r="I65" s="5"/>
      <c r="J65" s="10"/>
    </row>
    <row r="66" spans="1:10" ht="21" customHeight="1" x14ac:dyDescent="0.25">
      <c r="A66" s="11"/>
      <c r="B66" s="12"/>
      <c r="C66" s="12"/>
      <c r="D66" s="12"/>
      <c r="E66" s="10"/>
      <c r="F66" s="11"/>
      <c r="G66" s="10"/>
      <c r="H66" s="11"/>
      <c r="I66" s="5"/>
      <c r="J66" s="10"/>
    </row>
    <row r="67" spans="1:10" ht="21" customHeight="1" x14ac:dyDescent="0.25">
      <c r="A67" s="11"/>
      <c r="B67" s="12"/>
      <c r="C67" s="12"/>
      <c r="D67" s="12"/>
      <c r="E67" s="10"/>
      <c r="F67" s="11"/>
      <c r="G67" s="10"/>
      <c r="H67" s="11"/>
      <c r="I67" s="5"/>
      <c r="J67" s="10"/>
    </row>
    <row r="68" spans="1:10" ht="21" customHeight="1" x14ac:dyDescent="0.25">
      <c r="A68" s="11"/>
      <c r="B68" s="12"/>
      <c r="C68" s="12"/>
      <c r="D68" s="12"/>
      <c r="E68" s="10"/>
      <c r="F68" s="11"/>
      <c r="G68" s="10"/>
      <c r="H68" s="11"/>
      <c r="I68" s="5"/>
      <c r="J68" s="10"/>
    </row>
    <row r="69" spans="1:10" ht="21" customHeight="1" x14ac:dyDescent="0.25">
      <c r="A69" s="11"/>
      <c r="B69" s="12"/>
      <c r="C69" s="12"/>
      <c r="D69" s="12"/>
      <c r="E69" s="10"/>
      <c r="F69" s="11"/>
      <c r="G69" s="10"/>
      <c r="H69" s="11"/>
      <c r="I69" s="5"/>
      <c r="J69" s="10"/>
    </row>
    <row r="70" spans="1:10" ht="21" customHeight="1" x14ac:dyDescent="0.25">
      <c r="A70" s="11"/>
      <c r="B70" s="12"/>
      <c r="C70" s="12"/>
      <c r="D70" s="12"/>
      <c r="E70" s="10"/>
      <c r="F70" s="11"/>
      <c r="G70" s="10"/>
      <c r="H70" s="11"/>
      <c r="I70" s="5"/>
      <c r="J70" s="10"/>
    </row>
    <row r="71" spans="1:10" ht="21" customHeight="1" x14ac:dyDescent="0.25">
      <c r="A71" s="11"/>
      <c r="B71" s="12"/>
      <c r="C71" s="12"/>
      <c r="D71" s="12"/>
      <c r="E71" s="10"/>
      <c r="F71" s="11"/>
      <c r="G71" s="10"/>
      <c r="H71" s="11"/>
      <c r="I71" s="5"/>
      <c r="J71" s="10"/>
    </row>
    <row r="72" spans="1:10" ht="21" customHeight="1" x14ac:dyDescent="0.25">
      <c r="A72" s="11"/>
      <c r="B72" s="12"/>
      <c r="C72" s="12"/>
      <c r="D72" s="12"/>
      <c r="E72" s="10"/>
      <c r="F72" s="11"/>
      <c r="G72" s="10"/>
      <c r="H72" s="11"/>
      <c r="I72" s="5"/>
      <c r="J72" s="10"/>
    </row>
    <row r="73" spans="1:10" ht="21" customHeight="1" x14ac:dyDescent="0.25">
      <c r="A73" s="11"/>
      <c r="B73" s="12"/>
      <c r="C73" s="12"/>
      <c r="D73" s="12"/>
      <c r="E73" s="10"/>
      <c r="F73" s="11"/>
      <c r="G73" s="10"/>
      <c r="H73" s="11"/>
      <c r="I73" s="5"/>
      <c r="J73" s="10"/>
    </row>
    <row r="74" spans="1:10" ht="21" customHeight="1" x14ac:dyDescent="0.25">
      <c r="A74" s="11"/>
      <c r="B74" s="12"/>
      <c r="C74" s="12"/>
      <c r="D74" s="12"/>
      <c r="E74" s="10"/>
      <c r="F74" s="11"/>
      <c r="G74" s="10"/>
      <c r="H74" s="11"/>
      <c r="I74" s="5"/>
      <c r="J74" s="10"/>
    </row>
    <row r="75" spans="1:10" ht="21" customHeight="1" x14ac:dyDescent="0.25">
      <c r="A75" s="11"/>
      <c r="B75" s="12"/>
      <c r="C75" s="12"/>
      <c r="D75" s="12"/>
      <c r="E75" s="10"/>
      <c r="F75" s="11"/>
      <c r="G75" s="10"/>
      <c r="H75" s="11"/>
      <c r="I75" s="5"/>
      <c r="J75" s="10"/>
    </row>
    <row r="76" spans="1:10" ht="21" customHeight="1" x14ac:dyDescent="0.25">
      <c r="A76" s="11"/>
      <c r="B76" s="12"/>
      <c r="C76" s="12"/>
      <c r="D76" s="12"/>
      <c r="E76" s="10"/>
      <c r="F76" s="11"/>
      <c r="G76" s="10"/>
      <c r="H76" s="11"/>
      <c r="I76" s="5"/>
      <c r="J76" s="10"/>
    </row>
    <row r="77" spans="1:10" ht="21" customHeight="1" x14ac:dyDescent="0.25">
      <c r="A77" s="11"/>
      <c r="B77" s="12"/>
      <c r="C77" s="12"/>
      <c r="D77" s="12"/>
      <c r="E77" s="10"/>
      <c r="F77" s="11"/>
      <c r="G77" s="10"/>
      <c r="H77" s="11"/>
      <c r="I77" s="5"/>
      <c r="J77" s="10"/>
    </row>
    <row r="78" spans="1:10" ht="21" customHeight="1" x14ac:dyDescent="0.25">
      <c r="A78" s="11"/>
      <c r="B78" s="12"/>
      <c r="C78" s="12"/>
      <c r="D78" s="12"/>
      <c r="E78" s="10"/>
      <c r="F78" s="11"/>
      <c r="G78" s="10"/>
      <c r="H78" s="11"/>
      <c r="I78" s="5"/>
      <c r="J78" s="10"/>
    </row>
    <row r="79" spans="1:10" ht="21" customHeight="1" x14ac:dyDescent="0.25">
      <c r="A79" s="11"/>
      <c r="B79" s="12"/>
      <c r="C79" s="12"/>
      <c r="D79" s="12"/>
      <c r="E79" s="10"/>
      <c r="F79" s="11"/>
      <c r="G79" s="10"/>
      <c r="H79" s="11"/>
      <c r="I79" s="5"/>
      <c r="J79" s="10"/>
    </row>
    <row r="80" spans="1:10" ht="21" customHeight="1" x14ac:dyDescent="0.25">
      <c r="A80" s="11"/>
      <c r="B80" s="12"/>
      <c r="C80" s="12"/>
      <c r="D80" s="12"/>
      <c r="E80" s="10"/>
      <c r="F80" s="11"/>
      <c r="G80" s="10"/>
      <c r="H80" s="11"/>
      <c r="I80" s="5"/>
      <c r="J80" s="10"/>
    </row>
    <row r="81" spans="1:10" ht="21" customHeight="1" x14ac:dyDescent="0.25">
      <c r="A81" s="11"/>
      <c r="B81" s="12"/>
      <c r="C81" s="12"/>
      <c r="D81" s="12"/>
      <c r="E81" s="10"/>
      <c r="F81" s="11"/>
      <c r="G81" s="10"/>
      <c r="H81" s="11"/>
      <c r="I81" s="5"/>
      <c r="J81" s="10"/>
    </row>
    <row r="82" spans="1:10" ht="21" customHeight="1" x14ac:dyDescent="0.25">
      <c r="A82" s="11"/>
      <c r="B82" s="12"/>
      <c r="C82" s="12"/>
      <c r="D82" s="12"/>
      <c r="E82" s="10"/>
      <c r="F82" s="11"/>
      <c r="G82" s="10"/>
      <c r="H82" s="11"/>
      <c r="I82" s="5"/>
      <c r="J82" s="10"/>
    </row>
    <row r="83" spans="1:10" ht="21" customHeight="1" x14ac:dyDescent="0.25">
      <c r="A83" s="11"/>
      <c r="B83" s="12"/>
      <c r="C83" s="12"/>
      <c r="D83" s="12"/>
      <c r="E83" s="10"/>
      <c r="F83" s="11"/>
      <c r="G83" s="10"/>
      <c r="H83" s="11"/>
      <c r="I83" s="5"/>
      <c r="J83" s="10"/>
    </row>
    <row r="84" spans="1:10" ht="21" customHeight="1" x14ac:dyDescent="0.25">
      <c r="A84" s="11"/>
      <c r="B84" s="12"/>
      <c r="C84" s="12"/>
      <c r="D84" s="12"/>
      <c r="E84" s="10"/>
      <c r="F84" s="11"/>
      <c r="G84" s="10"/>
      <c r="H84" s="11"/>
      <c r="I84" s="5"/>
      <c r="J84" s="10"/>
    </row>
    <row r="85" spans="1:10" ht="21" customHeight="1" x14ac:dyDescent="0.25">
      <c r="A85" s="11"/>
      <c r="B85" s="12"/>
      <c r="C85" s="12"/>
      <c r="D85" s="12"/>
      <c r="E85" s="10"/>
      <c r="F85" s="11"/>
      <c r="G85" s="10"/>
      <c r="H85" s="11"/>
      <c r="I85" s="5"/>
      <c r="J85" s="10"/>
    </row>
    <row r="86" spans="1:10" ht="21" customHeight="1" x14ac:dyDescent="0.25">
      <c r="A86" s="11"/>
      <c r="B86" s="12"/>
      <c r="C86" s="12"/>
      <c r="D86" s="12"/>
      <c r="E86" s="10"/>
      <c r="F86" s="11"/>
      <c r="G86" s="10"/>
      <c r="H86" s="11"/>
      <c r="I86" s="5"/>
      <c r="J86" s="10"/>
    </row>
    <row r="87" spans="1:10" ht="21" customHeight="1" x14ac:dyDescent="0.25">
      <c r="A87" s="11"/>
      <c r="B87" s="12"/>
      <c r="C87" s="12"/>
      <c r="D87" s="12"/>
      <c r="E87" s="10"/>
      <c r="F87" s="11"/>
      <c r="G87" s="10"/>
      <c r="H87" s="11"/>
      <c r="I87" s="5"/>
      <c r="J87" s="10"/>
    </row>
    <row r="88" spans="1:10" ht="21" customHeight="1" x14ac:dyDescent="0.25">
      <c r="A88" s="11"/>
      <c r="B88" s="12"/>
      <c r="C88" s="12"/>
      <c r="D88" s="12"/>
      <c r="E88" s="10"/>
      <c r="F88" s="11"/>
      <c r="G88" s="10"/>
      <c r="H88" s="11"/>
      <c r="I88" s="5"/>
      <c r="J88" s="10"/>
    </row>
    <row r="89" spans="1:10" ht="21" customHeight="1" x14ac:dyDescent="0.25">
      <c r="A89" s="11"/>
      <c r="B89" s="12"/>
      <c r="C89" s="12"/>
      <c r="D89" s="12"/>
      <c r="E89" s="10"/>
      <c r="F89" s="11"/>
      <c r="G89" s="10"/>
      <c r="H89" s="11"/>
      <c r="I89" s="5"/>
      <c r="J89" s="10"/>
    </row>
    <row r="90" spans="1:10" ht="21" customHeight="1" x14ac:dyDescent="0.25">
      <c r="A90" s="11"/>
      <c r="B90" s="12"/>
      <c r="C90" s="12"/>
      <c r="D90" s="12"/>
      <c r="E90" s="10"/>
      <c r="F90" s="11"/>
      <c r="G90" s="10"/>
      <c r="H90" s="11"/>
      <c r="I90" s="5"/>
      <c r="J90" s="10"/>
    </row>
    <row r="91" spans="1:10" ht="21" customHeight="1" x14ac:dyDescent="0.25">
      <c r="A91" s="11"/>
      <c r="B91" s="12"/>
      <c r="C91" s="12"/>
      <c r="D91" s="12"/>
      <c r="E91" s="10"/>
      <c r="F91" s="11"/>
      <c r="G91" s="10"/>
      <c r="H91" s="11"/>
      <c r="I91" s="5"/>
      <c r="J91" s="10"/>
    </row>
    <row r="92" spans="1:10" ht="21" customHeight="1" x14ac:dyDescent="0.25">
      <c r="A92" s="11"/>
      <c r="B92" s="12"/>
      <c r="C92" s="12"/>
      <c r="D92" s="12"/>
      <c r="E92" s="10"/>
      <c r="F92" s="11"/>
      <c r="G92" s="10"/>
      <c r="H92" s="11"/>
      <c r="I92" s="5"/>
      <c r="J92" s="10"/>
    </row>
    <row r="93" spans="1:10" ht="21" customHeight="1" x14ac:dyDescent="0.25">
      <c r="A93" s="11"/>
      <c r="B93" s="12"/>
      <c r="C93" s="12"/>
      <c r="D93" s="12"/>
      <c r="E93" s="10"/>
      <c r="F93" s="11"/>
      <c r="G93" s="10"/>
      <c r="H93" s="11"/>
      <c r="I93" s="5"/>
      <c r="J93" s="10"/>
    </row>
    <row r="94" spans="1:10" ht="21" customHeight="1" x14ac:dyDescent="0.25">
      <c r="A94" s="11"/>
      <c r="B94" s="12"/>
      <c r="C94" s="12"/>
      <c r="D94" s="12"/>
      <c r="E94" s="10"/>
      <c r="F94" s="11"/>
      <c r="G94" s="10"/>
      <c r="H94" s="11"/>
      <c r="I94" s="5"/>
      <c r="J94" s="10"/>
    </row>
    <row r="95" spans="1:10" ht="21" customHeight="1" x14ac:dyDescent="0.25">
      <c r="A95" s="11"/>
      <c r="B95" s="12"/>
      <c r="C95" s="12"/>
      <c r="D95" s="12"/>
      <c r="E95" s="10"/>
      <c r="F95" s="11"/>
      <c r="G95" s="10"/>
      <c r="H95" s="11"/>
      <c r="I95" s="5"/>
      <c r="J95" s="10"/>
    </row>
    <row r="96" spans="1:10" ht="21" customHeight="1" x14ac:dyDescent="0.25">
      <c r="A96" s="11"/>
      <c r="B96" s="12"/>
      <c r="C96" s="12"/>
      <c r="D96" s="12"/>
      <c r="E96" s="10"/>
      <c r="F96" s="11"/>
      <c r="G96" s="10"/>
      <c r="H96" s="11"/>
      <c r="I96" s="5"/>
      <c r="J96" s="10"/>
    </row>
    <row r="97" spans="1:10" ht="21" customHeight="1" x14ac:dyDescent="0.25">
      <c r="A97" s="11"/>
      <c r="B97" s="12"/>
      <c r="C97" s="12"/>
      <c r="D97" s="12"/>
      <c r="E97" s="10"/>
      <c r="F97" s="11"/>
      <c r="G97" s="10"/>
      <c r="H97" s="11"/>
      <c r="I97" s="5"/>
      <c r="J97" s="10"/>
    </row>
    <row r="98" spans="1:10" ht="21" customHeight="1" x14ac:dyDescent="0.25">
      <c r="A98" s="11"/>
      <c r="B98" s="12"/>
      <c r="C98" s="12"/>
      <c r="D98" s="12"/>
      <c r="E98" s="10"/>
      <c r="F98" s="11"/>
      <c r="G98" s="10"/>
      <c r="H98" s="11"/>
      <c r="I98" s="5"/>
      <c r="J98" s="10"/>
    </row>
    <row r="99" spans="1:10" ht="21" customHeight="1" x14ac:dyDescent="0.25">
      <c r="A99" s="11"/>
      <c r="B99" s="12"/>
      <c r="C99" s="12"/>
      <c r="D99" s="12"/>
      <c r="E99" s="10"/>
      <c r="F99" s="11"/>
      <c r="G99" s="10"/>
      <c r="H99" s="11"/>
      <c r="I99" s="5"/>
      <c r="J99" s="10"/>
    </row>
    <row r="100" spans="1:10" ht="21" customHeight="1" x14ac:dyDescent="0.25">
      <c r="A100" s="11"/>
      <c r="B100" s="12"/>
      <c r="C100" s="12"/>
      <c r="D100" s="12"/>
      <c r="E100" s="10"/>
      <c r="F100" s="11"/>
      <c r="G100" s="10"/>
      <c r="H100" s="11"/>
      <c r="I100" s="5"/>
      <c r="J100" s="10"/>
    </row>
    <row r="101" spans="1:10" ht="21" customHeight="1" x14ac:dyDescent="0.25">
      <c r="A101" s="11"/>
      <c r="B101" s="12"/>
      <c r="C101" s="12"/>
      <c r="D101" s="12"/>
      <c r="E101" s="10"/>
      <c r="F101" s="11"/>
      <c r="G101" s="10"/>
      <c r="H101" s="11"/>
      <c r="I101" s="5"/>
      <c r="J101" s="10"/>
    </row>
    <row r="102" spans="1:10" ht="21" customHeight="1" x14ac:dyDescent="0.25">
      <c r="A102" s="11"/>
      <c r="B102" s="12"/>
      <c r="C102" s="12"/>
      <c r="D102" s="12"/>
      <c r="E102" s="10"/>
      <c r="F102" s="11"/>
      <c r="G102" s="10"/>
      <c r="H102" s="11"/>
      <c r="I102" s="5"/>
      <c r="J102" s="10"/>
    </row>
    <row r="103" spans="1:10" ht="21" customHeight="1" x14ac:dyDescent="0.25">
      <c r="A103" s="11"/>
      <c r="B103" s="12"/>
      <c r="C103" s="12"/>
      <c r="D103" s="12"/>
      <c r="E103" s="10"/>
      <c r="F103" s="11"/>
      <c r="G103" s="10"/>
      <c r="H103" s="11"/>
      <c r="I103" s="5"/>
      <c r="J103" s="10"/>
    </row>
    <row r="104" spans="1:10" ht="21" customHeight="1" x14ac:dyDescent="0.25">
      <c r="A104" s="11"/>
      <c r="B104" s="12"/>
      <c r="C104" s="12"/>
      <c r="D104" s="12"/>
      <c r="E104" s="10"/>
      <c r="F104" s="11"/>
      <c r="G104" s="10"/>
      <c r="H104" s="11"/>
      <c r="I104" s="5"/>
      <c r="J104" s="10"/>
    </row>
    <row r="105" spans="1:10" ht="21" customHeight="1" x14ac:dyDescent="0.25">
      <c r="A105" s="11"/>
      <c r="B105" s="12"/>
      <c r="C105" s="12"/>
      <c r="D105" s="12"/>
      <c r="E105" s="10"/>
      <c r="F105" s="11"/>
      <c r="G105" s="10"/>
      <c r="H105" s="11"/>
      <c r="I105" s="5"/>
      <c r="J105" s="10"/>
    </row>
    <row r="106" spans="1:10" ht="21" customHeight="1" x14ac:dyDescent="0.25">
      <c r="A106" s="11"/>
      <c r="B106" s="12"/>
      <c r="C106" s="12"/>
      <c r="D106" s="12"/>
      <c r="E106" s="10"/>
      <c r="F106" s="11"/>
      <c r="G106" s="10"/>
      <c r="H106" s="11"/>
      <c r="I106" s="5"/>
      <c r="J106" s="10"/>
    </row>
    <row r="107" spans="1:10" ht="21" customHeight="1" x14ac:dyDescent="0.25">
      <c r="A107" s="11"/>
      <c r="B107" s="12"/>
      <c r="C107" s="12"/>
      <c r="D107" s="12"/>
      <c r="E107" s="10"/>
      <c r="F107" s="11"/>
      <c r="G107" s="10"/>
      <c r="H107" s="11"/>
      <c r="I107" s="5"/>
      <c r="J107" s="10"/>
    </row>
    <row r="108" spans="1:10" ht="21" customHeight="1" x14ac:dyDescent="0.25">
      <c r="A108" s="11"/>
      <c r="B108" s="12"/>
      <c r="C108" s="12"/>
      <c r="D108" s="12"/>
      <c r="E108" s="10"/>
      <c r="F108" s="11"/>
      <c r="G108" s="10"/>
      <c r="H108" s="11"/>
      <c r="I108" s="5"/>
      <c r="J108" s="10"/>
    </row>
    <row r="109" spans="1:10" ht="21" customHeight="1" x14ac:dyDescent="0.25">
      <c r="A109" s="11"/>
      <c r="B109" s="12"/>
      <c r="C109" s="12"/>
      <c r="D109" s="12"/>
      <c r="E109" s="10"/>
      <c r="F109" s="11"/>
      <c r="G109" s="10"/>
      <c r="H109" s="11"/>
      <c r="I109" s="5"/>
      <c r="J109" s="10"/>
    </row>
    <row r="110" spans="1:10" ht="21" customHeight="1" x14ac:dyDescent="0.25">
      <c r="A110" s="11"/>
      <c r="B110" s="12"/>
      <c r="C110" s="12"/>
      <c r="D110" s="12"/>
      <c r="E110" s="10"/>
      <c r="F110" s="11"/>
      <c r="G110" s="10"/>
      <c r="H110" s="11"/>
      <c r="I110" s="5"/>
      <c r="J110" s="10"/>
    </row>
  </sheetData>
  <mergeCells count="5">
    <mergeCell ref="A35:I35"/>
    <mergeCell ref="I1:J1"/>
    <mergeCell ref="B1:H1"/>
    <mergeCell ref="B4:B17"/>
    <mergeCell ref="B18:B34"/>
  </mergeCells>
  <printOptions horizontalCentered="1"/>
  <pageMargins left="0.25" right="0.25" top="0.25" bottom="0.25" header="0" footer="0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3D1B-710A-46F7-97B2-C603CC9A9327}">
  <sheetPr>
    <pageSetUpPr fitToPage="1"/>
  </sheetPr>
  <dimension ref="A1:O120"/>
  <sheetViews>
    <sheetView zoomScale="85" zoomScaleNormal="85" workbookViewId="0">
      <selection activeCell="H19" sqref="H19"/>
    </sheetView>
  </sheetViews>
  <sheetFormatPr defaultColWidth="14.42578125" defaultRowHeight="21" customHeight="1" x14ac:dyDescent="0.25"/>
  <cols>
    <col min="1" max="1" width="6.28515625" style="1" customWidth="1"/>
    <col min="2" max="2" width="20.7109375" style="1" customWidth="1"/>
    <col min="3" max="3" width="17.140625" style="1" customWidth="1"/>
    <col min="4" max="4" width="10.7109375" style="1" customWidth="1"/>
    <col min="5" max="5" width="61.28515625" style="1" bestFit="1" customWidth="1"/>
    <col min="6" max="6" width="10.28515625" style="1" customWidth="1"/>
    <col min="7" max="10" width="12.7109375" style="1" customWidth="1"/>
    <col min="11" max="14" width="14.42578125" style="69"/>
    <col min="15" max="16384" width="14.42578125" style="1"/>
  </cols>
  <sheetData>
    <row r="1" spans="1:15" ht="21" customHeight="1" x14ac:dyDescent="0.25">
      <c r="A1" s="1" t="s">
        <v>0</v>
      </c>
      <c r="B1" s="176" t="s">
        <v>11</v>
      </c>
      <c r="C1" s="175"/>
      <c r="D1" s="175"/>
      <c r="E1" s="175"/>
      <c r="F1" s="175"/>
      <c r="G1" s="175"/>
      <c r="H1" s="175"/>
      <c r="I1" s="174">
        <f>Summary!D2</f>
        <v>46130</v>
      </c>
      <c r="J1" s="175"/>
    </row>
    <row r="2" spans="1:15" ht="21" customHeight="1" x14ac:dyDescent="0.25">
      <c r="B2" s="2"/>
      <c r="C2" s="2"/>
      <c r="D2" s="2"/>
      <c r="E2" s="3"/>
      <c r="F2" s="3"/>
      <c r="G2" s="16"/>
      <c r="H2" s="4"/>
      <c r="I2" s="5"/>
      <c r="J2" s="4"/>
    </row>
    <row r="3" spans="1:15" ht="42" customHeight="1" x14ac:dyDescent="0.25">
      <c r="A3" s="6" t="s">
        <v>30</v>
      </c>
      <c r="B3" s="47" t="s">
        <v>17</v>
      </c>
      <c r="C3" s="132" t="s">
        <v>18</v>
      </c>
      <c r="D3" s="41" t="s">
        <v>19</v>
      </c>
      <c r="E3" s="135" t="s">
        <v>20</v>
      </c>
      <c r="F3" s="130" t="s">
        <v>56</v>
      </c>
      <c r="G3" s="130" t="s">
        <v>21</v>
      </c>
      <c r="H3" s="134" t="s">
        <v>22</v>
      </c>
      <c r="I3" s="47" t="s">
        <v>23</v>
      </c>
      <c r="J3" s="6" t="s">
        <v>24</v>
      </c>
      <c r="K3" s="144"/>
      <c r="L3" s="4"/>
      <c r="M3" s="161"/>
      <c r="N3" s="144"/>
    </row>
    <row r="4" spans="1:15" ht="28.9" customHeight="1" x14ac:dyDescent="0.25">
      <c r="A4" s="57">
        <v>1</v>
      </c>
      <c r="B4" s="180" t="s">
        <v>222</v>
      </c>
      <c r="C4" s="31">
        <v>8888626173474</v>
      </c>
      <c r="D4" s="35">
        <v>702792</v>
      </c>
      <c r="E4" s="62" t="s">
        <v>238</v>
      </c>
      <c r="F4" s="30">
        <v>24</v>
      </c>
      <c r="G4" s="112">
        <v>2.5</v>
      </c>
      <c r="H4" s="112">
        <v>2.5</v>
      </c>
      <c r="I4" s="35">
        <v>48</v>
      </c>
      <c r="J4" s="99">
        <f>G4*I4</f>
        <v>120</v>
      </c>
      <c r="M4" s="105"/>
      <c r="O4" s="78"/>
    </row>
    <row r="5" spans="1:15" ht="28.9" customHeight="1" x14ac:dyDescent="0.25">
      <c r="A5" s="57">
        <v>2</v>
      </c>
      <c r="B5" s="181"/>
      <c r="C5" s="31">
        <v>8888626043951</v>
      </c>
      <c r="D5" s="35">
        <v>701640</v>
      </c>
      <c r="E5" s="62" t="s">
        <v>258</v>
      </c>
      <c r="F5" s="30">
        <v>24</v>
      </c>
      <c r="G5" s="112">
        <v>2.5</v>
      </c>
      <c r="H5" s="112">
        <v>2.5</v>
      </c>
      <c r="I5" s="35">
        <v>72</v>
      </c>
      <c r="J5" s="99">
        <f t="shared" ref="J5:J37" si="0">G5*I5</f>
        <v>180</v>
      </c>
      <c r="M5" s="105"/>
      <c r="O5" s="78"/>
    </row>
    <row r="6" spans="1:15" ht="21" customHeight="1" x14ac:dyDescent="0.25">
      <c r="A6" s="57">
        <v>3</v>
      </c>
      <c r="B6" s="181"/>
      <c r="C6" s="31">
        <v>8888626173481</v>
      </c>
      <c r="D6" s="35">
        <v>702793</v>
      </c>
      <c r="E6" s="74" t="s">
        <v>239</v>
      </c>
      <c r="F6" s="35">
        <v>24</v>
      </c>
      <c r="G6" s="112">
        <v>2.5</v>
      </c>
      <c r="H6" s="112">
        <v>2.5</v>
      </c>
      <c r="I6" s="35">
        <v>96</v>
      </c>
      <c r="J6" s="99">
        <f t="shared" si="0"/>
        <v>240</v>
      </c>
      <c r="M6" s="105"/>
      <c r="O6" s="78"/>
    </row>
    <row r="7" spans="1:15" ht="21" customHeight="1" x14ac:dyDescent="0.25">
      <c r="A7" s="57">
        <v>4</v>
      </c>
      <c r="B7" s="182"/>
      <c r="C7" s="31">
        <v>8888626056012</v>
      </c>
      <c r="D7" s="35">
        <v>701742</v>
      </c>
      <c r="E7" s="62" t="s">
        <v>217</v>
      </c>
      <c r="F7" s="30">
        <v>24</v>
      </c>
      <c r="G7" s="112">
        <v>2.5</v>
      </c>
      <c r="H7" s="112">
        <v>2.5</v>
      </c>
      <c r="I7" s="35">
        <v>96</v>
      </c>
      <c r="J7" s="99">
        <f t="shared" si="0"/>
        <v>240</v>
      </c>
      <c r="M7" s="105"/>
      <c r="O7" s="78"/>
    </row>
    <row r="8" spans="1:15" ht="27.6" customHeight="1" x14ac:dyDescent="0.25">
      <c r="A8" s="57">
        <v>5</v>
      </c>
      <c r="B8" s="79" t="s">
        <v>274</v>
      </c>
      <c r="C8" s="31">
        <v>8888626174426</v>
      </c>
      <c r="D8" s="35">
        <v>702842</v>
      </c>
      <c r="E8" s="62" t="s">
        <v>280</v>
      </c>
      <c r="F8" s="30">
        <v>24</v>
      </c>
      <c r="G8" s="112">
        <v>2.9</v>
      </c>
      <c r="H8" s="112">
        <v>2.9</v>
      </c>
      <c r="I8" s="35">
        <v>60</v>
      </c>
      <c r="J8" s="99">
        <f t="shared" si="0"/>
        <v>174</v>
      </c>
      <c r="M8" s="105"/>
      <c r="O8" s="78"/>
    </row>
    <row r="9" spans="1:15" ht="27.6" customHeight="1" x14ac:dyDescent="0.25">
      <c r="A9" s="57">
        <v>6</v>
      </c>
      <c r="B9" s="79" t="s">
        <v>363</v>
      </c>
      <c r="C9" s="31">
        <v>8888626062129</v>
      </c>
      <c r="D9" s="35">
        <v>701799</v>
      </c>
      <c r="E9" s="62" t="s">
        <v>359</v>
      </c>
      <c r="F9" s="30">
        <v>24</v>
      </c>
      <c r="G9" s="112">
        <v>1.5</v>
      </c>
      <c r="H9" s="112">
        <v>1.5</v>
      </c>
      <c r="I9" s="35">
        <v>72</v>
      </c>
      <c r="J9" s="99">
        <f t="shared" si="0"/>
        <v>108</v>
      </c>
      <c r="M9" s="105"/>
      <c r="O9" s="78"/>
    </row>
    <row r="10" spans="1:15" ht="21" customHeight="1" x14ac:dyDescent="0.25">
      <c r="A10" s="57">
        <v>7</v>
      </c>
      <c r="B10" s="30" t="s">
        <v>125</v>
      </c>
      <c r="C10" s="31" t="s">
        <v>41</v>
      </c>
      <c r="D10" s="35">
        <v>701544</v>
      </c>
      <c r="E10" s="62" t="s">
        <v>109</v>
      </c>
      <c r="F10" s="30">
        <v>24</v>
      </c>
      <c r="G10" s="112">
        <v>2.8</v>
      </c>
      <c r="H10" s="112">
        <v>2.8</v>
      </c>
      <c r="I10" s="151">
        <f>60+84</f>
        <v>144</v>
      </c>
      <c r="J10" s="99">
        <f t="shared" si="0"/>
        <v>403.2</v>
      </c>
      <c r="M10" s="105"/>
      <c r="O10" s="78"/>
    </row>
    <row r="11" spans="1:15" ht="28.15" customHeight="1" x14ac:dyDescent="0.25">
      <c r="A11" s="57">
        <v>8</v>
      </c>
      <c r="B11" s="177" t="s">
        <v>396</v>
      </c>
      <c r="C11" s="31">
        <v>8888626155333</v>
      </c>
      <c r="D11" s="35">
        <v>702680</v>
      </c>
      <c r="E11" s="74" t="s">
        <v>160</v>
      </c>
      <c r="F11" s="35">
        <v>24</v>
      </c>
      <c r="G11" s="112">
        <v>0.85</v>
      </c>
      <c r="H11" s="112">
        <v>0.85</v>
      </c>
      <c r="I11" s="28">
        <v>72</v>
      </c>
      <c r="J11" s="99">
        <f t="shared" si="0"/>
        <v>61.199999999999996</v>
      </c>
      <c r="M11" s="105"/>
      <c r="O11" s="78"/>
    </row>
    <row r="12" spans="1:15" ht="31.9" customHeight="1" x14ac:dyDescent="0.25">
      <c r="A12" s="57">
        <v>9</v>
      </c>
      <c r="B12" s="177"/>
      <c r="C12" s="31">
        <v>8888626155326</v>
      </c>
      <c r="D12" s="35">
        <v>702679</v>
      </c>
      <c r="E12" s="74" t="s">
        <v>153</v>
      </c>
      <c r="F12" s="35">
        <v>48</v>
      </c>
      <c r="G12" s="112">
        <v>0.65</v>
      </c>
      <c r="H12" s="112">
        <v>0.65</v>
      </c>
      <c r="I12" s="28">
        <v>144</v>
      </c>
      <c r="J12" s="99">
        <f t="shared" si="0"/>
        <v>93.600000000000009</v>
      </c>
      <c r="M12" s="105"/>
      <c r="O12" s="78"/>
    </row>
    <row r="13" spans="1:15" ht="31.9" customHeight="1" x14ac:dyDescent="0.25">
      <c r="A13" s="57">
        <v>10</v>
      </c>
      <c r="B13" s="177"/>
      <c r="C13" s="31" t="s">
        <v>255</v>
      </c>
      <c r="D13" s="35">
        <v>700196</v>
      </c>
      <c r="E13" s="62" t="s">
        <v>256</v>
      </c>
      <c r="F13" s="30">
        <v>24</v>
      </c>
      <c r="G13" s="112">
        <v>2.1</v>
      </c>
      <c r="H13" s="112">
        <v>2.1</v>
      </c>
      <c r="I13" s="28">
        <v>144</v>
      </c>
      <c r="J13" s="99">
        <f t="shared" si="0"/>
        <v>302.40000000000003</v>
      </c>
      <c r="M13" s="105"/>
      <c r="O13" s="78"/>
    </row>
    <row r="14" spans="1:15" ht="21" customHeight="1" x14ac:dyDescent="0.25">
      <c r="A14" s="57">
        <v>11</v>
      </c>
      <c r="B14" s="177"/>
      <c r="C14" s="111" t="s">
        <v>42</v>
      </c>
      <c r="D14" s="35">
        <v>701545</v>
      </c>
      <c r="E14" s="62" t="s">
        <v>110</v>
      </c>
      <c r="F14" s="30">
        <v>24</v>
      </c>
      <c r="G14" s="112">
        <v>1.7</v>
      </c>
      <c r="H14" s="112">
        <v>1.7</v>
      </c>
      <c r="I14" s="28">
        <v>72</v>
      </c>
      <c r="J14" s="99">
        <f t="shared" si="0"/>
        <v>122.39999999999999</v>
      </c>
      <c r="M14" s="105"/>
      <c r="O14" s="78"/>
    </row>
    <row r="15" spans="1:15" ht="27.6" customHeight="1" x14ac:dyDescent="0.25">
      <c r="A15" s="57">
        <v>12</v>
      </c>
      <c r="B15" s="109" t="s">
        <v>128</v>
      </c>
      <c r="C15" s="133" t="s">
        <v>43</v>
      </c>
      <c r="D15" s="35">
        <v>701598</v>
      </c>
      <c r="E15" s="62" t="s">
        <v>111</v>
      </c>
      <c r="F15" s="30">
        <v>24</v>
      </c>
      <c r="G15" s="112">
        <v>1.25</v>
      </c>
      <c r="H15" s="112">
        <v>1.25</v>
      </c>
      <c r="I15" s="152">
        <f>60+180</f>
        <v>240</v>
      </c>
      <c r="J15" s="99">
        <f t="shared" si="0"/>
        <v>300</v>
      </c>
      <c r="M15" s="105"/>
      <c r="O15" s="78"/>
    </row>
    <row r="16" spans="1:15" ht="21" customHeight="1" x14ac:dyDescent="0.25">
      <c r="A16" s="57">
        <v>13</v>
      </c>
      <c r="B16" s="196" t="s">
        <v>26</v>
      </c>
      <c r="C16" s="31">
        <v>8888626005911</v>
      </c>
      <c r="D16" s="35">
        <v>701501</v>
      </c>
      <c r="E16" s="62" t="s">
        <v>97</v>
      </c>
      <c r="F16" s="30">
        <v>12</v>
      </c>
      <c r="G16" s="112">
        <v>1.99</v>
      </c>
      <c r="H16" s="112">
        <v>1.99</v>
      </c>
      <c r="I16" s="28">
        <v>72</v>
      </c>
      <c r="J16" s="99">
        <f t="shared" si="0"/>
        <v>143.28</v>
      </c>
      <c r="M16" s="105"/>
      <c r="O16" s="78"/>
    </row>
    <row r="17" spans="1:15" ht="21" customHeight="1" x14ac:dyDescent="0.25">
      <c r="A17" s="57">
        <v>14</v>
      </c>
      <c r="B17" s="197"/>
      <c r="C17" s="31">
        <v>8888626005935</v>
      </c>
      <c r="D17" s="35">
        <v>701503</v>
      </c>
      <c r="E17" s="62" t="s">
        <v>273</v>
      </c>
      <c r="F17" s="30">
        <v>12</v>
      </c>
      <c r="G17" s="112">
        <v>1.85</v>
      </c>
      <c r="H17" s="112">
        <v>1.85</v>
      </c>
      <c r="I17" s="28">
        <v>48</v>
      </c>
      <c r="J17" s="99">
        <f t="shared" si="0"/>
        <v>88.800000000000011</v>
      </c>
      <c r="M17" s="105"/>
      <c r="O17" s="78"/>
    </row>
    <row r="18" spans="1:15" ht="21" customHeight="1" x14ac:dyDescent="0.25">
      <c r="A18" s="57">
        <v>15</v>
      </c>
      <c r="B18" s="198"/>
      <c r="C18" s="31" t="s">
        <v>202</v>
      </c>
      <c r="D18" s="35">
        <v>701500</v>
      </c>
      <c r="E18" s="62" t="s">
        <v>203</v>
      </c>
      <c r="F18" s="30">
        <v>12</v>
      </c>
      <c r="G18" s="112">
        <v>2</v>
      </c>
      <c r="H18" s="112">
        <v>2</v>
      </c>
      <c r="I18" s="28">
        <v>132</v>
      </c>
      <c r="J18" s="99">
        <f t="shared" si="0"/>
        <v>264</v>
      </c>
      <c r="M18" s="105"/>
      <c r="O18" s="78"/>
    </row>
    <row r="19" spans="1:15" ht="21" customHeight="1" x14ac:dyDescent="0.25">
      <c r="A19" s="57">
        <v>16</v>
      </c>
      <c r="B19" s="180" t="s">
        <v>396</v>
      </c>
      <c r="C19" s="31">
        <v>8888626168784</v>
      </c>
      <c r="D19" s="35">
        <v>702759</v>
      </c>
      <c r="E19" s="62" t="s">
        <v>220</v>
      </c>
      <c r="F19" s="30">
        <v>24</v>
      </c>
      <c r="G19" s="112">
        <v>2.4900000000000002</v>
      </c>
      <c r="H19" s="112">
        <v>2.4900000000000002</v>
      </c>
      <c r="I19" s="28">
        <v>48</v>
      </c>
      <c r="J19" s="99">
        <f t="shared" si="0"/>
        <v>119.52000000000001</v>
      </c>
      <c r="M19" s="105"/>
      <c r="O19" s="78"/>
    </row>
    <row r="20" spans="1:15" ht="21" customHeight="1" x14ac:dyDescent="0.25">
      <c r="A20" s="57">
        <v>17</v>
      </c>
      <c r="B20" s="181"/>
      <c r="C20" s="31">
        <v>8888626168777</v>
      </c>
      <c r="D20" s="35">
        <v>702758</v>
      </c>
      <c r="E20" s="62" t="s">
        <v>221</v>
      </c>
      <c r="F20" s="30">
        <v>24</v>
      </c>
      <c r="G20" s="112">
        <v>2.4900000000000002</v>
      </c>
      <c r="H20" s="112">
        <v>2.4900000000000002</v>
      </c>
      <c r="I20" s="28">
        <v>96</v>
      </c>
      <c r="J20" s="99">
        <f t="shared" si="0"/>
        <v>239.04000000000002</v>
      </c>
      <c r="M20" s="105"/>
      <c r="O20" s="78"/>
    </row>
    <row r="21" spans="1:15" ht="21" customHeight="1" x14ac:dyDescent="0.25">
      <c r="A21" s="57">
        <v>18</v>
      </c>
      <c r="B21" s="181"/>
      <c r="C21" s="31" t="s">
        <v>259</v>
      </c>
      <c r="D21" s="35">
        <v>702760</v>
      </c>
      <c r="E21" s="62" t="s">
        <v>260</v>
      </c>
      <c r="F21" s="30">
        <v>24</v>
      </c>
      <c r="G21" s="112">
        <v>2.69</v>
      </c>
      <c r="H21" s="112">
        <v>2.69</v>
      </c>
      <c r="I21" s="28">
        <v>72</v>
      </c>
      <c r="J21" s="99">
        <f t="shared" si="0"/>
        <v>193.68</v>
      </c>
      <c r="M21" s="105"/>
      <c r="O21" s="78"/>
    </row>
    <row r="22" spans="1:15" ht="21" customHeight="1" x14ac:dyDescent="0.25">
      <c r="A22" s="57">
        <v>19</v>
      </c>
      <c r="B22" s="181"/>
      <c r="C22" s="31">
        <v>8888626138589</v>
      </c>
      <c r="D22" s="35">
        <v>108523</v>
      </c>
      <c r="E22" s="62" t="s">
        <v>286</v>
      </c>
      <c r="F22" s="30">
        <v>24</v>
      </c>
      <c r="G22" s="112">
        <v>2.4</v>
      </c>
      <c r="H22" s="112">
        <v>2.4</v>
      </c>
      <c r="I22" s="28">
        <v>24</v>
      </c>
      <c r="J22" s="99">
        <f t="shared" si="0"/>
        <v>57.599999999999994</v>
      </c>
      <c r="M22" s="105"/>
      <c r="O22" s="78"/>
    </row>
    <row r="23" spans="1:15" ht="21" customHeight="1" x14ac:dyDescent="0.25">
      <c r="A23" s="57">
        <v>20</v>
      </c>
      <c r="B23" s="181"/>
      <c r="C23" s="31">
        <v>8888626138503</v>
      </c>
      <c r="D23" s="35">
        <v>108492</v>
      </c>
      <c r="E23" s="62" t="s">
        <v>218</v>
      </c>
      <c r="F23" s="30">
        <v>24</v>
      </c>
      <c r="G23" s="112">
        <v>2.75</v>
      </c>
      <c r="H23" s="112">
        <v>2.75</v>
      </c>
      <c r="I23" s="28">
        <v>24</v>
      </c>
      <c r="J23" s="99">
        <f t="shared" si="0"/>
        <v>66</v>
      </c>
      <c r="M23" s="105"/>
      <c r="O23" s="78"/>
    </row>
    <row r="24" spans="1:15" ht="21" customHeight="1" x14ac:dyDescent="0.25">
      <c r="A24" s="57">
        <v>21</v>
      </c>
      <c r="B24" s="181"/>
      <c r="C24" s="31">
        <v>8888626176185</v>
      </c>
      <c r="D24" s="35">
        <v>109655</v>
      </c>
      <c r="E24" s="62" t="s">
        <v>360</v>
      </c>
      <c r="F24" s="30">
        <v>12</v>
      </c>
      <c r="G24" s="112">
        <v>1.95</v>
      </c>
      <c r="H24" s="112">
        <v>1.95</v>
      </c>
      <c r="I24" s="28">
        <v>72</v>
      </c>
      <c r="J24" s="99">
        <f t="shared" si="0"/>
        <v>140.4</v>
      </c>
      <c r="M24" s="105"/>
      <c r="O24" s="78"/>
    </row>
    <row r="25" spans="1:15" ht="21" customHeight="1" x14ac:dyDescent="0.25">
      <c r="A25" s="57">
        <v>22</v>
      </c>
      <c r="B25" s="181"/>
      <c r="C25" s="31">
        <v>8888626176192</v>
      </c>
      <c r="D25" s="35">
        <v>109656</v>
      </c>
      <c r="E25" s="62" t="s">
        <v>361</v>
      </c>
      <c r="F25" s="30">
        <v>12</v>
      </c>
      <c r="G25" s="112">
        <v>1.95</v>
      </c>
      <c r="H25" s="112">
        <v>1.95</v>
      </c>
      <c r="I25" s="28">
        <v>36</v>
      </c>
      <c r="J25" s="99">
        <f t="shared" si="0"/>
        <v>70.2</v>
      </c>
      <c r="M25" s="105"/>
      <c r="O25" s="78"/>
    </row>
    <row r="26" spans="1:15" ht="21" customHeight="1" x14ac:dyDescent="0.25">
      <c r="A26" s="57">
        <v>23</v>
      </c>
      <c r="B26" s="181"/>
      <c r="C26" s="31">
        <v>8888626206264</v>
      </c>
      <c r="D26" s="35">
        <v>344979</v>
      </c>
      <c r="E26" s="62" t="s">
        <v>253</v>
      </c>
      <c r="F26" s="30">
        <v>12</v>
      </c>
      <c r="G26" s="112">
        <v>2.2999999999999998</v>
      </c>
      <c r="H26" s="112">
        <v>2.2999999999999998</v>
      </c>
      <c r="I26" s="30">
        <v>48</v>
      </c>
      <c r="J26" s="99">
        <f t="shared" si="0"/>
        <v>110.39999999999999</v>
      </c>
      <c r="M26" s="105"/>
      <c r="O26" s="78"/>
    </row>
    <row r="27" spans="1:15" ht="35.450000000000003" customHeight="1" x14ac:dyDescent="0.25">
      <c r="A27" s="57">
        <v>24</v>
      </c>
      <c r="B27" s="181"/>
      <c r="C27" s="31">
        <v>8888626166636</v>
      </c>
      <c r="D27" s="35">
        <v>109265</v>
      </c>
      <c r="E27" s="62" t="s">
        <v>281</v>
      </c>
      <c r="F27" s="30">
        <v>15</v>
      </c>
      <c r="G27" s="112">
        <v>2.9</v>
      </c>
      <c r="H27" s="112">
        <v>2.9</v>
      </c>
      <c r="I27" s="28">
        <v>15</v>
      </c>
      <c r="J27" s="99">
        <f t="shared" si="0"/>
        <v>43.5</v>
      </c>
      <c r="M27" s="105"/>
      <c r="O27" s="78"/>
    </row>
    <row r="28" spans="1:15" ht="37.9" customHeight="1" x14ac:dyDescent="0.25">
      <c r="A28" s="57">
        <v>25</v>
      </c>
      <c r="B28" s="181"/>
      <c r="C28" s="31">
        <v>8888626105406</v>
      </c>
      <c r="D28" s="35">
        <v>108009</v>
      </c>
      <c r="E28" s="62" t="s">
        <v>58</v>
      </c>
      <c r="F28" s="30">
        <v>24</v>
      </c>
      <c r="G28" s="112">
        <v>1.35</v>
      </c>
      <c r="H28" s="112">
        <v>1.35</v>
      </c>
      <c r="I28" s="28">
        <v>72</v>
      </c>
      <c r="J28" s="99">
        <f t="shared" si="0"/>
        <v>97.2</v>
      </c>
      <c r="M28" s="105"/>
      <c r="O28" s="78"/>
    </row>
    <row r="29" spans="1:15" ht="31.9" customHeight="1" x14ac:dyDescent="0.25">
      <c r="A29" s="57">
        <v>26</v>
      </c>
      <c r="B29" s="181"/>
      <c r="C29" s="31">
        <v>8888626105413</v>
      </c>
      <c r="D29" s="35">
        <v>108010</v>
      </c>
      <c r="E29" s="62" t="s">
        <v>35</v>
      </c>
      <c r="F29" s="30">
        <v>4</v>
      </c>
      <c r="G29" s="112">
        <v>3.99</v>
      </c>
      <c r="H29" s="112">
        <v>3.99</v>
      </c>
      <c r="I29" s="28">
        <v>28</v>
      </c>
      <c r="J29" s="99">
        <f t="shared" si="0"/>
        <v>111.72</v>
      </c>
      <c r="M29" s="105"/>
      <c r="O29" s="78"/>
    </row>
    <row r="30" spans="1:15" ht="21" customHeight="1" x14ac:dyDescent="0.25">
      <c r="A30" s="57">
        <v>27</v>
      </c>
      <c r="B30" s="181"/>
      <c r="C30" s="31" t="s">
        <v>36</v>
      </c>
      <c r="D30" s="35">
        <v>107026</v>
      </c>
      <c r="E30" s="62" t="s">
        <v>112</v>
      </c>
      <c r="F30" s="30">
        <v>24</v>
      </c>
      <c r="G30" s="112">
        <v>2.1</v>
      </c>
      <c r="H30" s="112">
        <v>2.1</v>
      </c>
      <c r="I30" s="28">
        <v>144</v>
      </c>
      <c r="J30" s="99">
        <f t="shared" si="0"/>
        <v>302.40000000000003</v>
      </c>
      <c r="M30" s="105"/>
      <c r="O30" s="78"/>
    </row>
    <row r="31" spans="1:15" ht="45.6" customHeight="1" x14ac:dyDescent="0.25">
      <c r="A31" s="57">
        <v>28</v>
      </c>
      <c r="B31" s="181"/>
      <c r="C31" s="31" t="s">
        <v>37</v>
      </c>
      <c r="D31" s="35">
        <v>107027</v>
      </c>
      <c r="E31" s="62" t="s">
        <v>113</v>
      </c>
      <c r="F31" s="30">
        <v>24</v>
      </c>
      <c r="G31" s="112">
        <v>1.95</v>
      </c>
      <c r="H31" s="112">
        <v>1.95</v>
      </c>
      <c r="I31" s="28">
        <v>84</v>
      </c>
      <c r="J31" s="99">
        <f t="shared" si="0"/>
        <v>163.79999999999998</v>
      </c>
      <c r="M31" s="105"/>
      <c r="O31" s="78"/>
    </row>
    <row r="32" spans="1:15" ht="25.9" customHeight="1" x14ac:dyDescent="0.25">
      <c r="A32" s="57">
        <v>29</v>
      </c>
      <c r="B32" s="181"/>
      <c r="C32" s="31">
        <v>8888626005676</v>
      </c>
      <c r="D32" s="35">
        <v>105481</v>
      </c>
      <c r="E32" s="62" t="s">
        <v>137</v>
      </c>
      <c r="F32" s="30">
        <v>24</v>
      </c>
      <c r="G32" s="112">
        <v>1.69</v>
      </c>
      <c r="H32" s="112">
        <v>1.69</v>
      </c>
      <c r="I32" s="148">
        <f>130+158</f>
        <v>288</v>
      </c>
      <c r="J32" s="99">
        <f t="shared" si="0"/>
        <v>486.71999999999997</v>
      </c>
      <c r="M32" s="105"/>
      <c r="O32" s="78"/>
    </row>
    <row r="33" spans="1:15" ht="21" customHeight="1" x14ac:dyDescent="0.25">
      <c r="A33" s="57">
        <v>30</v>
      </c>
      <c r="B33" s="181"/>
      <c r="C33" s="25">
        <v>8888626162430</v>
      </c>
      <c r="D33" s="35">
        <v>109249</v>
      </c>
      <c r="E33" s="62" t="s">
        <v>257</v>
      </c>
      <c r="F33" s="30">
        <v>12</v>
      </c>
      <c r="G33" s="112">
        <v>2.2000000000000002</v>
      </c>
      <c r="H33" s="112">
        <v>2.2000000000000002</v>
      </c>
      <c r="I33" s="28">
        <v>60</v>
      </c>
      <c r="J33" s="99">
        <f>G33*I33</f>
        <v>132</v>
      </c>
      <c r="M33" s="105"/>
      <c r="O33" s="78"/>
    </row>
    <row r="34" spans="1:15" ht="35.450000000000003" customHeight="1" x14ac:dyDescent="0.25">
      <c r="A34" s="57">
        <v>31</v>
      </c>
      <c r="B34" s="181"/>
      <c r="C34" s="25">
        <v>8888626155203</v>
      </c>
      <c r="D34" s="35">
        <v>109062</v>
      </c>
      <c r="E34" s="62" t="s">
        <v>166</v>
      </c>
      <c r="F34" s="30">
        <v>24</v>
      </c>
      <c r="G34" s="112">
        <v>1.5</v>
      </c>
      <c r="H34" s="112">
        <v>1.5</v>
      </c>
      <c r="I34" s="28">
        <v>144</v>
      </c>
      <c r="J34" s="99">
        <f t="shared" si="0"/>
        <v>216</v>
      </c>
      <c r="M34" s="105"/>
      <c r="O34" s="78"/>
    </row>
    <row r="35" spans="1:15" ht="30.6" customHeight="1" x14ac:dyDescent="0.25">
      <c r="A35" s="57">
        <v>32</v>
      </c>
      <c r="B35" s="181"/>
      <c r="C35" s="25">
        <v>8888626134079</v>
      </c>
      <c r="D35" s="35">
        <v>108431</v>
      </c>
      <c r="E35" s="62" t="s">
        <v>219</v>
      </c>
      <c r="F35" s="30">
        <v>12</v>
      </c>
      <c r="G35" s="112">
        <v>8.9499999999999993</v>
      </c>
      <c r="H35" s="112">
        <v>8.9499999999999993</v>
      </c>
      <c r="I35" s="28">
        <v>72</v>
      </c>
      <c r="J35" s="99">
        <f t="shared" si="0"/>
        <v>644.4</v>
      </c>
      <c r="M35" s="105"/>
      <c r="O35" s="78"/>
    </row>
    <row r="36" spans="1:15" ht="21" customHeight="1" x14ac:dyDescent="0.25">
      <c r="A36" s="57">
        <v>33</v>
      </c>
      <c r="B36" s="181"/>
      <c r="C36" s="25">
        <v>8888626174655</v>
      </c>
      <c r="D36" s="35">
        <v>109654</v>
      </c>
      <c r="E36" s="62" t="s">
        <v>364</v>
      </c>
      <c r="F36" s="30">
        <v>9</v>
      </c>
      <c r="G36" s="112">
        <v>1.99</v>
      </c>
      <c r="H36" s="112">
        <v>1.99</v>
      </c>
      <c r="I36" s="28">
        <v>36</v>
      </c>
      <c r="J36" s="99">
        <f t="shared" si="0"/>
        <v>71.64</v>
      </c>
      <c r="M36" s="105"/>
      <c r="O36" s="78"/>
    </row>
    <row r="37" spans="1:15" ht="21" customHeight="1" x14ac:dyDescent="0.25">
      <c r="A37" s="57">
        <v>34</v>
      </c>
      <c r="B37" s="182"/>
      <c r="C37" s="25">
        <v>8888626174525</v>
      </c>
      <c r="D37" s="35">
        <v>109653</v>
      </c>
      <c r="E37" s="62" t="s">
        <v>362</v>
      </c>
      <c r="F37" s="30">
        <v>12</v>
      </c>
      <c r="G37" s="112">
        <v>1.95</v>
      </c>
      <c r="H37" s="112">
        <v>1.95</v>
      </c>
      <c r="I37" s="28">
        <v>96</v>
      </c>
      <c r="J37" s="99">
        <f t="shared" si="0"/>
        <v>187.2</v>
      </c>
      <c r="M37" s="105"/>
      <c r="O37" s="78"/>
    </row>
    <row r="38" spans="1:15" ht="21" customHeight="1" x14ac:dyDescent="0.25">
      <c r="A38" s="171" t="s">
        <v>124</v>
      </c>
      <c r="B38" s="178"/>
      <c r="C38" s="178"/>
      <c r="D38" s="178"/>
      <c r="E38" s="178"/>
      <c r="F38" s="178"/>
      <c r="G38" s="178"/>
      <c r="H38" s="178"/>
      <c r="I38" s="195"/>
      <c r="J38" s="76">
        <f>SUM(J4:J37)</f>
        <v>6294.3</v>
      </c>
    </row>
    <row r="39" spans="1:15" ht="21" customHeight="1" x14ac:dyDescent="0.25">
      <c r="A39" s="64"/>
      <c r="B39" s="63"/>
      <c r="C39" s="12"/>
      <c r="D39" s="12"/>
      <c r="E39" s="10"/>
      <c r="F39" s="10"/>
      <c r="G39" s="11"/>
      <c r="H39" s="11"/>
      <c r="I39" s="5"/>
      <c r="J39" s="11"/>
    </row>
    <row r="40" spans="1:15" ht="21" customHeight="1" x14ac:dyDescent="0.25">
      <c r="A40" s="11"/>
      <c r="B40" s="12"/>
      <c r="C40" s="12"/>
      <c r="D40" s="12"/>
      <c r="E40" s="10"/>
      <c r="F40" s="10"/>
      <c r="G40" s="13"/>
      <c r="H40" s="13"/>
      <c r="I40" s="5"/>
      <c r="J40" s="11"/>
    </row>
    <row r="41" spans="1:15" ht="21" customHeight="1" x14ac:dyDescent="0.25">
      <c r="A41" s="11"/>
      <c r="B41" s="12"/>
      <c r="C41" s="12"/>
      <c r="D41" s="12"/>
      <c r="E41" s="10"/>
      <c r="F41" s="10"/>
      <c r="G41" s="11"/>
      <c r="H41" s="11"/>
      <c r="I41" s="5"/>
      <c r="J41" s="11"/>
    </row>
    <row r="42" spans="1:15" ht="21" customHeight="1" x14ac:dyDescent="0.25">
      <c r="A42" s="11"/>
      <c r="B42" s="12"/>
      <c r="C42" s="12"/>
      <c r="D42" s="12"/>
      <c r="E42" s="10"/>
      <c r="F42" s="10"/>
      <c r="G42" s="11"/>
      <c r="H42" s="11"/>
      <c r="I42" s="5"/>
      <c r="J42" s="11"/>
    </row>
    <row r="43" spans="1:15" ht="21" customHeight="1" x14ac:dyDescent="0.25">
      <c r="A43" s="11"/>
      <c r="B43" s="12"/>
      <c r="C43" s="12"/>
      <c r="D43" s="12"/>
      <c r="E43" s="10"/>
      <c r="F43" s="10"/>
      <c r="G43" s="11"/>
      <c r="H43" s="11"/>
      <c r="I43" s="5"/>
      <c r="J43" s="11"/>
    </row>
    <row r="44" spans="1:15" ht="21" customHeight="1" x14ac:dyDescent="0.25">
      <c r="A44" s="11"/>
      <c r="B44" s="12"/>
      <c r="C44" s="12"/>
      <c r="D44" s="12"/>
      <c r="E44" s="10"/>
      <c r="F44" s="10"/>
      <c r="G44" s="11"/>
      <c r="H44" s="11"/>
      <c r="I44" s="5"/>
      <c r="J44" s="11"/>
    </row>
    <row r="45" spans="1:15" ht="21" customHeight="1" x14ac:dyDescent="0.25">
      <c r="A45" s="11"/>
      <c r="B45" s="12"/>
      <c r="C45" s="12"/>
      <c r="D45" s="12"/>
      <c r="E45" s="10"/>
      <c r="F45" s="10"/>
      <c r="G45" s="11"/>
      <c r="H45" s="11"/>
      <c r="I45" s="5"/>
      <c r="J45" s="11"/>
    </row>
    <row r="46" spans="1:15" ht="21" customHeight="1" x14ac:dyDescent="0.25">
      <c r="A46" s="11"/>
      <c r="B46" s="12"/>
      <c r="C46" s="12"/>
      <c r="D46" s="12"/>
      <c r="E46" s="10"/>
      <c r="F46" s="10"/>
      <c r="G46" s="11"/>
      <c r="H46" s="11"/>
      <c r="I46" s="5"/>
      <c r="J46" s="11"/>
    </row>
    <row r="47" spans="1:15" ht="21" customHeight="1" x14ac:dyDescent="0.25">
      <c r="A47" s="11"/>
      <c r="B47" s="12"/>
      <c r="C47" s="12"/>
      <c r="D47" s="12"/>
      <c r="E47" s="10"/>
      <c r="F47" s="10"/>
      <c r="G47" s="11"/>
      <c r="H47" s="11"/>
      <c r="I47" s="5"/>
      <c r="J47" s="11"/>
    </row>
    <row r="48" spans="1:15" ht="21" customHeight="1" x14ac:dyDescent="0.25">
      <c r="A48" s="11"/>
      <c r="B48" s="12"/>
      <c r="C48" s="12"/>
      <c r="D48" s="12"/>
      <c r="E48" s="10"/>
      <c r="F48" s="10"/>
      <c r="G48" s="11"/>
      <c r="H48" s="11"/>
      <c r="I48" s="5"/>
      <c r="J48" s="11"/>
    </row>
    <row r="49" spans="1:10" ht="21" customHeight="1" x14ac:dyDescent="0.25">
      <c r="A49" s="11"/>
      <c r="B49" s="12"/>
      <c r="C49" s="12"/>
      <c r="D49" s="12"/>
      <c r="E49" s="10"/>
      <c r="F49" s="10"/>
      <c r="G49" s="11"/>
      <c r="H49" s="11"/>
      <c r="I49" s="5"/>
      <c r="J49" s="11"/>
    </row>
    <row r="50" spans="1:10" ht="21" customHeight="1" x14ac:dyDescent="0.25">
      <c r="A50" s="11"/>
      <c r="B50" s="12"/>
      <c r="C50" s="12"/>
      <c r="D50" s="12"/>
      <c r="E50" s="10"/>
      <c r="F50" s="10"/>
      <c r="G50" s="11"/>
      <c r="H50" s="11"/>
      <c r="I50" s="5"/>
      <c r="J50" s="11"/>
    </row>
    <row r="51" spans="1:10" ht="21" customHeight="1" x14ac:dyDescent="0.25">
      <c r="A51" s="11"/>
      <c r="B51" s="12"/>
      <c r="C51" s="12"/>
      <c r="D51" s="12"/>
      <c r="E51" s="10"/>
      <c r="F51" s="10"/>
      <c r="G51" s="11"/>
      <c r="H51" s="11"/>
      <c r="I51" s="5"/>
      <c r="J51" s="11"/>
    </row>
    <row r="52" spans="1:10" ht="21" customHeight="1" x14ac:dyDescent="0.25">
      <c r="A52" s="11"/>
      <c r="B52" s="12"/>
      <c r="C52" s="12"/>
      <c r="D52" s="12"/>
      <c r="E52" s="10"/>
      <c r="F52" s="10"/>
      <c r="G52" s="11"/>
      <c r="H52" s="11"/>
      <c r="I52" s="5"/>
      <c r="J52" s="11"/>
    </row>
    <row r="53" spans="1:10" ht="21" customHeight="1" x14ac:dyDescent="0.25">
      <c r="A53" s="11"/>
      <c r="B53" s="12"/>
      <c r="C53" s="12"/>
      <c r="D53" s="12"/>
      <c r="E53" s="10"/>
      <c r="F53" s="10"/>
      <c r="G53" s="11"/>
      <c r="H53" s="11"/>
      <c r="I53" s="5"/>
      <c r="J53" s="11"/>
    </row>
    <row r="54" spans="1:10" ht="21" customHeight="1" x14ac:dyDescent="0.25">
      <c r="A54" s="11"/>
      <c r="B54" s="12"/>
      <c r="C54" s="12"/>
      <c r="D54" s="12"/>
      <c r="E54" s="10"/>
      <c r="F54" s="10"/>
      <c r="G54" s="11"/>
      <c r="H54" s="11"/>
      <c r="I54" s="5"/>
      <c r="J54" s="11"/>
    </row>
    <row r="55" spans="1:10" ht="21" customHeight="1" x14ac:dyDescent="0.25">
      <c r="A55" s="11"/>
      <c r="B55" s="12"/>
      <c r="C55" s="12"/>
      <c r="D55" s="12"/>
      <c r="E55" s="10"/>
      <c r="F55" s="10"/>
      <c r="G55" s="11"/>
      <c r="H55" s="11"/>
      <c r="I55" s="5"/>
      <c r="J55" s="11"/>
    </row>
    <row r="56" spans="1:10" ht="21" customHeight="1" x14ac:dyDescent="0.25">
      <c r="A56" s="11"/>
      <c r="B56" s="12"/>
      <c r="C56" s="12"/>
      <c r="D56" s="12"/>
      <c r="E56" s="10"/>
      <c r="F56" s="10"/>
      <c r="G56" s="11"/>
      <c r="H56" s="11"/>
      <c r="I56" s="5"/>
      <c r="J56" s="11"/>
    </row>
    <row r="57" spans="1:10" ht="21" customHeight="1" x14ac:dyDescent="0.25">
      <c r="A57" s="11"/>
      <c r="B57" s="12"/>
      <c r="C57" s="12"/>
      <c r="D57" s="12"/>
      <c r="E57" s="10"/>
      <c r="F57" s="10"/>
      <c r="G57" s="11"/>
      <c r="H57" s="11"/>
      <c r="I57" s="5"/>
      <c r="J57" s="11"/>
    </row>
    <row r="58" spans="1:10" ht="21" customHeight="1" x14ac:dyDescent="0.25">
      <c r="A58" s="11"/>
      <c r="B58" s="12"/>
      <c r="C58" s="12"/>
      <c r="D58" s="12"/>
      <c r="E58" s="10"/>
      <c r="F58" s="10"/>
      <c r="G58" s="11"/>
      <c r="H58" s="11"/>
      <c r="I58" s="5"/>
      <c r="J58" s="11"/>
    </row>
    <row r="59" spans="1:10" ht="21" customHeight="1" x14ac:dyDescent="0.25">
      <c r="A59" s="11"/>
      <c r="B59" s="12"/>
      <c r="C59" s="12"/>
      <c r="D59" s="12"/>
      <c r="E59" s="10"/>
      <c r="F59" s="10"/>
      <c r="G59" s="11"/>
      <c r="H59" s="11"/>
      <c r="I59" s="5"/>
      <c r="J59" s="11"/>
    </row>
    <row r="60" spans="1:10" ht="21" customHeight="1" x14ac:dyDescent="0.25">
      <c r="A60" s="11"/>
      <c r="B60" s="12"/>
      <c r="C60" s="12"/>
      <c r="D60" s="12"/>
      <c r="E60" s="10"/>
      <c r="F60" s="10"/>
      <c r="G60" s="11"/>
      <c r="H60" s="11"/>
      <c r="I60" s="5"/>
      <c r="J60" s="11"/>
    </row>
    <row r="61" spans="1:10" ht="21" customHeight="1" x14ac:dyDescent="0.25">
      <c r="A61" s="11"/>
      <c r="B61" s="12"/>
      <c r="C61" s="12"/>
      <c r="D61" s="12"/>
      <c r="E61" s="10"/>
      <c r="F61" s="10"/>
      <c r="G61" s="11"/>
      <c r="H61" s="11"/>
      <c r="I61" s="5"/>
      <c r="J61" s="11"/>
    </row>
    <row r="62" spans="1:10" ht="21" customHeight="1" x14ac:dyDescent="0.25">
      <c r="A62" s="11"/>
      <c r="B62" s="12"/>
      <c r="C62" s="12"/>
      <c r="D62" s="12"/>
      <c r="E62" s="10"/>
      <c r="F62" s="10"/>
      <c r="G62" s="11"/>
      <c r="H62" s="11"/>
      <c r="I62" s="5"/>
      <c r="J62" s="11"/>
    </row>
    <row r="63" spans="1:10" ht="21" customHeight="1" x14ac:dyDescent="0.25">
      <c r="A63" s="11"/>
      <c r="B63" s="12"/>
      <c r="C63" s="12"/>
      <c r="D63" s="12"/>
      <c r="E63" s="10"/>
      <c r="F63" s="10"/>
      <c r="G63" s="11"/>
      <c r="H63" s="11"/>
      <c r="I63" s="5"/>
      <c r="J63" s="11"/>
    </row>
    <row r="64" spans="1:10" ht="21" customHeight="1" x14ac:dyDescent="0.25">
      <c r="A64" s="11"/>
      <c r="B64" s="12"/>
      <c r="C64" s="12"/>
      <c r="D64" s="12"/>
      <c r="E64" s="10"/>
      <c r="F64" s="10"/>
      <c r="G64" s="11"/>
      <c r="H64" s="11"/>
      <c r="I64" s="5"/>
      <c r="J64" s="11"/>
    </row>
    <row r="65" spans="1:10" ht="21" customHeight="1" x14ac:dyDescent="0.25">
      <c r="A65" s="11"/>
      <c r="B65" s="12"/>
      <c r="C65" s="12"/>
      <c r="D65" s="12"/>
      <c r="E65" s="10"/>
      <c r="F65" s="10"/>
      <c r="G65" s="11"/>
      <c r="H65" s="11"/>
      <c r="I65" s="5"/>
      <c r="J65" s="11"/>
    </row>
    <row r="66" spans="1:10" ht="21" customHeight="1" x14ac:dyDescent="0.25">
      <c r="A66" s="11"/>
      <c r="B66" s="12"/>
      <c r="C66" s="12"/>
      <c r="D66" s="12"/>
      <c r="E66" s="10"/>
      <c r="F66" s="10"/>
      <c r="G66" s="11"/>
      <c r="H66" s="11"/>
      <c r="I66" s="5"/>
      <c r="J66" s="11"/>
    </row>
    <row r="67" spans="1:10" ht="21" customHeight="1" x14ac:dyDescent="0.25">
      <c r="A67" s="11"/>
      <c r="B67" s="12"/>
      <c r="C67" s="12"/>
      <c r="D67" s="12"/>
      <c r="E67" s="10"/>
      <c r="F67" s="10"/>
      <c r="G67" s="11"/>
      <c r="H67" s="11"/>
      <c r="I67" s="5"/>
      <c r="J67" s="11"/>
    </row>
    <row r="68" spans="1:10" ht="21" customHeight="1" x14ac:dyDescent="0.25">
      <c r="A68" s="11"/>
      <c r="B68" s="12"/>
      <c r="C68" s="12"/>
      <c r="D68" s="12"/>
      <c r="E68" s="10"/>
      <c r="F68" s="10"/>
      <c r="G68" s="11"/>
      <c r="H68" s="11"/>
      <c r="I68" s="5"/>
      <c r="J68" s="11"/>
    </row>
    <row r="69" spans="1:10" ht="21" customHeight="1" x14ac:dyDescent="0.25">
      <c r="A69" s="11"/>
      <c r="B69" s="12"/>
      <c r="C69" s="12"/>
      <c r="D69" s="12"/>
      <c r="E69" s="10"/>
      <c r="F69" s="10"/>
      <c r="G69" s="11"/>
      <c r="H69" s="11"/>
      <c r="I69" s="5"/>
      <c r="J69" s="11"/>
    </row>
    <row r="70" spans="1:10" ht="21" customHeight="1" x14ac:dyDescent="0.25">
      <c r="A70" s="11"/>
      <c r="B70" s="12"/>
      <c r="C70" s="12"/>
      <c r="D70" s="12"/>
      <c r="E70" s="10"/>
      <c r="F70" s="10"/>
      <c r="G70" s="11"/>
      <c r="H70" s="11"/>
      <c r="I70" s="5"/>
      <c r="J70" s="11"/>
    </row>
    <row r="71" spans="1:10" ht="21" customHeight="1" x14ac:dyDescent="0.25">
      <c r="A71" s="11"/>
      <c r="B71" s="12"/>
      <c r="C71" s="12"/>
      <c r="D71" s="12"/>
      <c r="E71" s="10"/>
      <c r="F71" s="10"/>
      <c r="G71" s="11"/>
      <c r="H71" s="11"/>
      <c r="I71" s="5"/>
      <c r="J71" s="11"/>
    </row>
    <row r="72" spans="1:10" ht="21" customHeight="1" x14ac:dyDescent="0.25">
      <c r="A72" s="11"/>
      <c r="B72" s="12"/>
      <c r="C72" s="12"/>
      <c r="D72" s="12"/>
      <c r="E72" s="10"/>
      <c r="F72" s="10"/>
      <c r="G72" s="11"/>
      <c r="H72" s="11"/>
      <c r="I72" s="5"/>
      <c r="J72" s="11"/>
    </row>
    <row r="73" spans="1:10" ht="21" customHeight="1" x14ac:dyDescent="0.25">
      <c r="A73" s="11"/>
      <c r="B73" s="12"/>
      <c r="C73" s="12"/>
      <c r="D73" s="12"/>
      <c r="E73" s="10"/>
      <c r="F73" s="10"/>
      <c r="G73" s="11"/>
      <c r="H73" s="11"/>
      <c r="I73" s="5"/>
      <c r="J73" s="11"/>
    </row>
    <row r="74" spans="1:10" ht="21" customHeight="1" x14ac:dyDescent="0.25">
      <c r="A74" s="11"/>
      <c r="B74" s="12"/>
      <c r="C74" s="12"/>
      <c r="D74" s="12"/>
      <c r="E74" s="10"/>
      <c r="F74" s="10"/>
      <c r="G74" s="11"/>
      <c r="H74" s="11"/>
      <c r="I74" s="5"/>
      <c r="J74" s="11"/>
    </row>
    <row r="75" spans="1:10" ht="21" customHeight="1" x14ac:dyDescent="0.25">
      <c r="A75" s="11"/>
      <c r="B75" s="12"/>
      <c r="C75" s="12"/>
      <c r="D75" s="12"/>
      <c r="E75" s="10"/>
      <c r="F75" s="10"/>
      <c r="G75" s="11"/>
      <c r="H75" s="11"/>
      <c r="I75" s="5"/>
      <c r="J75" s="11"/>
    </row>
    <row r="76" spans="1:10" ht="21" customHeight="1" x14ac:dyDescent="0.25">
      <c r="A76" s="11"/>
      <c r="B76" s="12"/>
      <c r="C76" s="12"/>
      <c r="D76" s="12"/>
      <c r="E76" s="10"/>
      <c r="F76" s="10"/>
      <c r="G76" s="11"/>
      <c r="H76" s="11"/>
      <c r="I76" s="5"/>
      <c r="J76" s="11"/>
    </row>
    <row r="77" spans="1:10" ht="21" customHeight="1" x14ac:dyDescent="0.25">
      <c r="A77" s="11"/>
      <c r="B77" s="12"/>
      <c r="C77" s="12"/>
      <c r="D77" s="12"/>
      <c r="E77" s="10"/>
      <c r="F77" s="10"/>
      <c r="G77" s="11"/>
      <c r="H77" s="11"/>
      <c r="I77" s="5"/>
      <c r="J77" s="11"/>
    </row>
    <row r="78" spans="1:10" ht="21" customHeight="1" x14ac:dyDescent="0.25">
      <c r="A78" s="11"/>
      <c r="B78" s="12"/>
      <c r="C78" s="12"/>
      <c r="D78" s="12"/>
      <c r="E78" s="10"/>
      <c r="F78" s="10"/>
      <c r="G78" s="11"/>
      <c r="H78" s="11"/>
      <c r="I78" s="5"/>
      <c r="J78" s="11"/>
    </row>
    <row r="79" spans="1:10" ht="21" customHeight="1" x14ac:dyDescent="0.25">
      <c r="A79" s="11"/>
      <c r="B79" s="12"/>
      <c r="C79" s="12"/>
      <c r="D79" s="12"/>
      <c r="E79" s="10"/>
      <c r="F79" s="10"/>
      <c r="G79" s="11"/>
      <c r="H79" s="11"/>
      <c r="I79" s="5"/>
      <c r="J79" s="11"/>
    </row>
    <row r="80" spans="1:10" ht="21" customHeight="1" x14ac:dyDescent="0.25">
      <c r="A80" s="11"/>
      <c r="B80" s="12"/>
      <c r="C80" s="12"/>
      <c r="D80" s="12"/>
      <c r="E80" s="10"/>
      <c r="F80" s="10"/>
      <c r="G80" s="11"/>
      <c r="H80" s="11"/>
      <c r="I80" s="5"/>
      <c r="J80" s="11"/>
    </row>
    <row r="81" spans="1:10" ht="21" customHeight="1" x14ac:dyDescent="0.25">
      <c r="A81" s="11"/>
      <c r="B81" s="12"/>
      <c r="C81" s="12"/>
      <c r="D81" s="12"/>
      <c r="E81" s="10"/>
      <c r="F81" s="10"/>
      <c r="G81" s="11"/>
      <c r="H81" s="11"/>
      <c r="I81" s="5"/>
      <c r="J81" s="11"/>
    </row>
    <row r="82" spans="1:10" ht="21" customHeight="1" x14ac:dyDescent="0.25">
      <c r="A82" s="11"/>
      <c r="B82" s="12"/>
      <c r="C82" s="12"/>
      <c r="D82" s="12"/>
      <c r="E82" s="10"/>
      <c r="F82" s="10"/>
      <c r="G82" s="11"/>
      <c r="H82" s="11"/>
      <c r="I82" s="5"/>
      <c r="J82" s="11"/>
    </row>
    <row r="83" spans="1:10" ht="21" customHeight="1" x14ac:dyDescent="0.25">
      <c r="A83" s="11"/>
      <c r="B83" s="12"/>
      <c r="C83" s="12"/>
      <c r="D83" s="12"/>
      <c r="E83" s="10"/>
      <c r="F83" s="10"/>
      <c r="G83" s="11"/>
      <c r="H83" s="11"/>
      <c r="I83" s="5"/>
      <c r="J83" s="11"/>
    </row>
    <row r="84" spans="1:10" ht="21" customHeight="1" x14ac:dyDescent="0.25">
      <c r="A84" s="11"/>
      <c r="B84" s="12"/>
      <c r="C84" s="12"/>
      <c r="D84" s="12"/>
      <c r="E84" s="10"/>
      <c r="F84" s="10"/>
      <c r="G84" s="11"/>
      <c r="H84" s="11"/>
      <c r="I84" s="5"/>
      <c r="J84" s="11"/>
    </row>
    <row r="85" spans="1:10" ht="21" customHeight="1" x14ac:dyDescent="0.25">
      <c r="A85" s="11"/>
      <c r="B85" s="12"/>
      <c r="C85" s="12"/>
      <c r="D85" s="12"/>
      <c r="E85" s="10"/>
      <c r="F85" s="10"/>
      <c r="G85" s="11"/>
      <c r="H85" s="11"/>
      <c r="I85" s="5"/>
      <c r="J85" s="11"/>
    </row>
    <row r="86" spans="1:10" ht="21" customHeight="1" x14ac:dyDescent="0.25">
      <c r="A86" s="11"/>
      <c r="B86" s="12"/>
      <c r="C86" s="12"/>
      <c r="D86" s="12"/>
      <c r="E86" s="10"/>
      <c r="F86" s="10"/>
      <c r="G86" s="11"/>
      <c r="H86" s="11"/>
      <c r="I86" s="5"/>
      <c r="J86" s="11"/>
    </row>
    <row r="87" spans="1:10" ht="21" customHeight="1" x14ac:dyDescent="0.25">
      <c r="A87" s="11"/>
      <c r="B87" s="12"/>
      <c r="C87" s="12"/>
      <c r="D87" s="12"/>
      <c r="E87" s="10"/>
      <c r="F87" s="10"/>
      <c r="G87" s="11"/>
      <c r="H87" s="11"/>
      <c r="I87" s="5"/>
      <c r="J87" s="11"/>
    </row>
    <row r="88" spans="1:10" ht="21" customHeight="1" x14ac:dyDescent="0.25">
      <c r="A88" s="11"/>
      <c r="B88" s="12"/>
      <c r="C88" s="12"/>
      <c r="D88" s="12"/>
      <c r="E88" s="10"/>
      <c r="F88" s="10"/>
      <c r="G88" s="11"/>
      <c r="H88" s="11"/>
      <c r="I88" s="5"/>
      <c r="J88" s="11"/>
    </row>
    <row r="89" spans="1:10" ht="21" customHeight="1" x14ac:dyDescent="0.25">
      <c r="A89" s="11"/>
      <c r="B89" s="12"/>
      <c r="C89" s="12"/>
      <c r="D89" s="12"/>
      <c r="E89" s="10"/>
      <c r="F89" s="10"/>
      <c r="G89" s="11"/>
      <c r="H89" s="11"/>
      <c r="I89" s="5"/>
      <c r="J89" s="11"/>
    </row>
    <row r="90" spans="1:10" ht="21" customHeight="1" x14ac:dyDescent="0.25">
      <c r="A90" s="11"/>
      <c r="B90" s="12"/>
      <c r="C90" s="12"/>
      <c r="D90" s="12"/>
      <c r="E90" s="10"/>
      <c r="F90" s="10"/>
      <c r="G90" s="11"/>
      <c r="H90" s="11"/>
      <c r="I90" s="5"/>
      <c r="J90" s="11"/>
    </row>
    <row r="91" spans="1:10" ht="21" customHeight="1" x14ac:dyDescent="0.25">
      <c r="A91" s="11"/>
      <c r="B91" s="12"/>
      <c r="C91" s="12"/>
      <c r="D91" s="12"/>
      <c r="E91" s="10"/>
      <c r="F91" s="10"/>
      <c r="G91" s="11"/>
      <c r="H91" s="11"/>
      <c r="I91" s="5"/>
      <c r="J91" s="11"/>
    </row>
    <row r="92" spans="1:10" ht="21" customHeight="1" x14ac:dyDescent="0.25">
      <c r="A92" s="11"/>
      <c r="B92" s="12"/>
      <c r="C92" s="12"/>
      <c r="D92" s="12"/>
      <c r="E92" s="10"/>
      <c r="F92" s="10"/>
      <c r="G92" s="11"/>
      <c r="H92" s="11"/>
      <c r="I92" s="5"/>
      <c r="J92" s="11"/>
    </row>
    <row r="93" spans="1:10" ht="21" customHeight="1" x14ac:dyDescent="0.25">
      <c r="A93" s="11"/>
      <c r="B93" s="12"/>
      <c r="C93" s="12"/>
      <c r="D93" s="12"/>
      <c r="E93" s="10"/>
      <c r="F93" s="10"/>
      <c r="G93" s="11"/>
      <c r="H93" s="11"/>
      <c r="I93" s="5"/>
      <c r="J93" s="11"/>
    </row>
    <row r="94" spans="1:10" ht="21" customHeight="1" x14ac:dyDescent="0.25">
      <c r="A94" s="11"/>
      <c r="B94" s="12"/>
      <c r="C94" s="12"/>
      <c r="D94" s="12"/>
      <c r="E94" s="10"/>
      <c r="F94" s="10"/>
      <c r="G94" s="11"/>
      <c r="H94" s="11"/>
      <c r="I94" s="5"/>
      <c r="J94" s="11"/>
    </row>
    <row r="95" spans="1:10" ht="21" customHeight="1" x14ac:dyDescent="0.25">
      <c r="A95" s="11"/>
      <c r="B95" s="12"/>
      <c r="C95" s="12"/>
      <c r="D95" s="12"/>
      <c r="E95" s="10"/>
      <c r="F95" s="10"/>
      <c r="G95" s="11"/>
      <c r="H95" s="11"/>
      <c r="I95" s="5"/>
      <c r="J95" s="11"/>
    </row>
    <row r="96" spans="1:10" ht="21" customHeight="1" x14ac:dyDescent="0.25">
      <c r="A96" s="11"/>
      <c r="B96" s="12"/>
      <c r="C96" s="12"/>
      <c r="D96" s="12"/>
      <c r="E96" s="10"/>
      <c r="F96" s="10"/>
      <c r="G96" s="11"/>
      <c r="H96" s="11"/>
      <c r="I96" s="5"/>
      <c r="J96" s="11"/>
    </row>
    <row r="97" spans="1:10" ht="21" customHeight="1" x14ac:dyDescent="0.25">
      <c r="A97" s="11"/>
      <c r="B97" s="12"/>
      <c r="C97" s="12"/>
      <c r="D97" s="12"/>
      <c r="E97" s="10"/>
      <c r="F97" s="10"/>
      <c r="G97" s="11"/>
      <c r="H97" s="11"/>
      <c r="I97" s="5"/>
      <c r="J97" s="11"/>
    </row>
    <row r="98" spans="1:10" ht="21" customHeight="1" x14ac:dyDescent="0.25">
      <c r="A98" s="11"/>
      <c r="B98" s="12"/>
      <c r="C98" s="12"/>
      <c r="D98" s="12"/>
      <c r="E98" s="10"/>
      <c r="F98" s="10"/>
      <c r="G98" s="11"/>
      <c r="H98" s="11"/>
      <c r="I98" s="5"/>
      <c r="J98" s="11"/>
    </row>
    <row r="99" spans="1:10" ht="21" customHeight="1" x14ac:dyDescent="0.25">
      <c r="A99" s="11"/>
      <c r="B99" s="12"/>
      <c r="C99" s="12"/>
      <c r="D99" s="12"/>
      <c r="E99" s="10"/>
      <c r="F99" s="10"/>
      <c r="G99" s="11"/>
      <c r="H99" s="11"/>
      <c r="I99" s="5"/>
      <c r="J99" s="11"/>
    </row>
    <row r="100" spans="1:10" ht="21" customHeight="1" x14ac:dyDescent="0.25">
      <c r="A100" s="11"/>
      <c r="B100" s="12"/>
      <c r="C100" s="12"/>
      <c r="D100" s="12"/>
      <c r="E100" s="10"/>
      <c r="F100" s="10"/>
      <c r="G100" s="11"/>
      <c r="H100" s="11"/>
      <c r="I100" s="5"/>
      <c r="J100" s="11"/>
    </row>
    <row r="101" spans="1:10" ht="21" customHeight="1" x14ac:dyDescent="0.25">
      <c r="A101" s="11"/>
      <c r="B101" s="12"/>
      <c r="C101" s="12"/>
      <c r="D101" s="12"/>
      <c r="E101" s="10"/>
      <c r="F101" s="10"/>
      <c r="G101" s="11"/>
      <c r="H101" s="11"/>
      <c r="I101" s="5"/>
      <c r="J101" s="11"/>
    </row>
    <row r="102" spans="1:10" ht="21" customHeight="1" x14ac:dyDescent="0.25">
      <c r="A102" s="11"/>
      <c r="B102" s="12"/>
      <c r="C102" s="12"/>
      <c r="D102" s="12"/>
      <c r="E102" s="10"/>
      <c r="F102" s="10"/>
      <c r="G102" s="11"/>
      <c r="H102" s="11"/>
      <c r="I102" s="5"/>
      <c r="J102" s="11"/>
    </row>
    <row r="103" spans="1:10" ht="21" customHeight="1" x14ac:dyDescent="0.25">
      <c r="A103" s="11"/>
      <c r="B103" s="12"/>
      <c r="C103" s="12"/>
      <c r="D103" s="12"/>
      <c r="E103" s="10"/>
      <c r="F103" s="10"/>
      <c r="G103" s="11"/>
      <c r="H103" s="11"/>
      <c r="I103" s="5"/>
      <c r="J103" s="11"/>
    </row>
    <row r="104" spans="1:10" ht="21" customHeight="1" x14ac:dyDescent="0.25">
      <c r="A104" s="11"/>
      <c r="B104" s="12"/>
      <c r="C104" s="12"/>
      <c r="D104" s="12"/>
      <c r="E104" s="10"/>
      <c r="F104" s="10"/>
      <c r="G104" s="11"/>
      <c r="H104" s="11"/>
      <c r="I104" s="5"/>
      <c r="J104" s="11"/>
    </row>
    <row r="105" spans="1:10" ht="21" customHeight="1" x14ac:dyDescent="0.25">
      <c r="A105" s="11"/>
      <c r="B105" s="12"/>
      <c r="C105" s="12"/>
      <c r="D105" s="12"/>
      <c r="E105" s="10"/>
      <c r="F105" s="10"/>
      <c r="G105" s="11"/>
      <c r="H105" s="11"/>
      <c r="I105" s="5"/>
      <c r="J105" s="11"/>
    </row>
    <row r="106" spans="1:10" ht="21" customHeight="1" x14ac:dyDescent="0.25">
      <c r="A106" s="11"/>
      <c r="B106" s="12"/>
      <c r="C106" s="12"/>
      <c r="D106" s="12"/>
      <c r="E106" s="10"/>
      <c r="F106" s="10"/>
      <c r="G106" s="11"/>
      <c r="H106" s="11"/>
      <c r="I106" s="5"/>
      <c r="J106" s="11"/>
    </row>
    <row r="107" spans="1:10" ht="21" customHeight="1" x14ac:dyDescent="0.25">
      <c r="A107" s="11"/>
      <c r="B107" s="12"/>
      <c r="C107" s="12"/>
      <c r="D107" s="12"/>
      <c r="E107" s="10"/>
      <c r="F107" s="10"/>
      <c r="G107" s="11"/>
      <c r="H107" s="11"/>
      <c r="I107" s="5"/>
      <c r="J107" s="11"/>
    </row>
    <row r="108" spans="1:10" ht="21" customHeight="1" x14ac:dyDescent="0.25">
      <c r="A108" s="11"/>
      <c r="B108" s="12"/>
      <c r="C108" s="12"/>
      <c r="D108" s="12"/>
      <c r="E108" s="10"/>
      <c r="F108" s="10"/>
      <c r="G108" s="11"/>
      <c r="H108" s="11"/>
      <c r="I108" s="5"/>
      <c r="J108" s="11"/>
    </row>
    <row r="109" spans="1:10" ht="21" customHeight="1" x14ac:dyDescent="0.25">
      <c r="A109" s="11"/>
      <c r="B109" s="12"/>
      <c r="C109" s="12"/>
      <c r="D109" s="12"/>
      <c r="E109" s="10"/>
      <c r="F109" s="10"/>
      <c r="G109" s="11"/>
      <c r="H109" s="11"/>
      <c r="I109" s="5"/>
      <c r="J109" s="11"/>
    </row>
    <row r="110" spans="1:10" ht="21" customHeight="1" x14ac:dyDescent="0.25">
      <c r="A110" s="11"/>
      <c r="B110" s="12"/>
      <c r="C110" s="12"/>
      <c r="D110" s="12"/>
      <c r="E110" s="10"/>
      <c r="F110" s="10"/>
      <c r="G110" s="11"/>
      <c r="H110" s="11"/>
      <c r="I110" s="5"/>
      <c r="J110" s="11"/>
    </row>
    <row r="111" spans="1:10" ht="21" customHeight="1" x14ac:dyDescent="0.25">
      <c r="A111" s="11"/>
      <c r="B111" s="12"/>
      <c r="C111" s="12"/>
      <c r="D111" s="12"/>
      <c r="E111" s="10"/>
      <c r="F111" s="10"/>
      <c r="G111" s="11"/>
      <c r="H111" s="11"/>
      <c r="I111" s="5"/>
      <c r="J111" s="11"/>
    </row>
    <row r="112" spans="1:10" ht="21" customHeight="1" x14ac:dyDescent="0.25">
      <c r="A112" s="11"/>
      <c r="B112" s="12"/>
      <c r="C112" s="12"/>
      <c r="D112" s="12"/>
      <c r="E112" s="10"/>
      <c r="F112" s="10"/>
      <c r="G112" s="11"/>
      <c r="H112" s="11"/>
      <c r="I112" s="5"/>
      <c r="J112" s="11"/>
    </row>
    <row r="113" spans="1:10" ht="21" customHeight="1" x14ac:dyDescent="0.25">
      <c r="A113" s="11"/>
      <c r="B113" s="12"/>
      <c r="C113" s="12"/>
      <c r="D113" s="12"/>
      <c r="E113" s="10"/>
      <c r="F113" s="10"/>
      <c r="G113" s="11"/>
      <c r="H113" s="11"/>
      <c r="I113" s="5"/>
      <c r="J113" s="11"/>
    </row>
    <row r="114" spans="1:10" ht="21" customHeight="1" x14ac:dyDescent="0.25">
      <c r="A114" s="11"/>
      <c r="B114" s="12"/>
      <c r="C114" s="12"/>
      <c r="D114" s="12"/>
      <c r="E114" s="10"/>
      <c r="F114" s="10"/>
      <c r="G114" s="11"/>
      <c r="H114" s="11"/>
      <c r="I114" s="5"/>
      <c r="J114" s="11"/>
    </row>
    <row r="115" spans="1:10" ht="21" customHeight="1" x14ac:dyDescent="0.25">
      <c r="A115" s="11"/>
      <c r="B115" s="12"/>
      <c r="C115" s="12"/>
      <c r="D115" s="12"/>
      <c r="E115" s="10"/>
      <c r="F115" s="10"/>
      <c r="G115" s="11"/>
      <c r="H115" s="11"/>
      <c r="I115" s="5"/>
      <c r="J115" s="11"/>
    </row>
    <row r="116" spans="1:10" ht="21" customHeight="1" x14ac:dyDescent="0.25">
      <c r="A116" s="11"/>
      <c r="B116" s="12"/>
      <c r="C116" s="12"/>
      <c r="D116" s="12"/>
      <c r="E116" s="10"/>
      <c r="F116" s="10"/>
      <c r="G116" s="11"/>
      <c r="H116" s="11"/>
      <c r="I116" s="5"/>
      <c r="J116" s="11"/>
    </row>
    <row r="117" spans="1:10" ht="21" customHeight="1" x14ac:dyDescent="0.25">
      <c r="A117" s="11"/>
      <c r="B117" s="12"/>
      <c r="C117" s="12"/>
      <c r="D117" s="12"/>
      <c r="E117" s="10"/>
      <c r="F117" s="10"/>
      <c r="G117" s="11"/>
      <c r="H117" s="11"/>
      <c r="I117" s="5"/>
      <c r="J117" s="11"/>
    </row>
    <row r="118" spans="1:10" ht="21" customHeight="1" x14ac:dyDescent="0.25">
      <c r="A118" s="11"/>
      <c r="B118" s="12"/>
      <c r="C118" s="12"/>
      <c r="D118" s="12"/>
      <c r="E118" s="10"/>
      <c r="F118" s="10"/>
      <c r="G118" s="11"/>
      <c r="H118" s="11"/>
      <c r="I118" s="5"/>
      <c r="J118" s="11"/>
    </row>
    <row r="119" spans="1:10" ht="21" customHeight="1" x14ac:dyDescent="0.25">
      <c r="A119" s="11"/>
      <c r="B119" s="12"/>
      <c r="C119" s="12"/>
      <c r="D119" s="12"/>
      <c r="E119" s="10"/>
      <c r="F119" s="10"/>
      <c r="G119" s="11"/>
      <c r="H119" s="11"/>
      <c r="I119" s="5"/>
      <c r="J119" s="11"/>
    </row>
    <row r="120" spans="1:10" ht="21" customHeight="1" x14ac:dyDescent="0.25">
      <c r="A120" s="11"/>
      <c r="B120" s="12"/>
    </row>
  </sheetData>
  <mergeCells count="7">
    <mergeCell ref="I1:J1"/>
    <mergeCell ref="B1:H1"/>
    <mergeCell ref="A38:I38"/>
    <mergeCell ref="B11:B14"/>
    <mergeCell ref="B4:B7"/>
    <mergeCell ref="B16:B18"/>
    <mergeCell ref="B19:B37"/>
  </mergeCells>
  <printOptions horizontalCentered="1"/>
  <pageMargins left="0.25" right="0.25" top="0.25" bottom="0.25" header="0" footer="0"/>
  <pageSetup paperSize="9" scale="7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78A8-9855-4E04-98D2-D7F9F0088EAA}">
  <sheetPr>
    <pageSetUpPr fitToPage="1"/>
  </sheetPr>
  <dimension ref="A1:O97"/>
  <sheetViews>
    <sheetView topLeftCell="A10" zoomScale="85" zoomScaleNormal="85" workbookViewId="0">
      <selection activeCell="E25" sqref="E25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24.42578125" style="1" customWidth="1"/>
    <col min="4" max="4" width="10.7109375" style="1" customWidth="1"/>
    <col min="5" max="5" width="61.7109375" style="1" customWidth="1"/>
    <col min="6" max="6" width="10" style="4" customWidth="1"/>
    <col min="7" max="7" width="12.7109375" style="105" customWidth="1"/>
    <col min="8" max="10" width="12.7109375" style="1" customWidth="1"/>
    <col min="11" max="11" width="12" style="69" customWidth="1"/>
    <col min="12" max="12" width="14.42578125" style="69"/>
    <col min="13" max="13" width="12.28515625" style="69" customWidth="1"/>
    <col min="14" max="14" width="9.7109375" style="69" customWidth="1"/>
    <col min="15" max="16384" width="14.42578125" style="1"/>
  </cols>
  <sheetData>
    <row r="1" spans="1:15" ht="21" customHeight="1" x14ac:dyDescent="0.25">
      <c r="A1" s="1" t="s">
        <v>0</v>
      </c>
      <c r="B1" s="176" t="s">
        <v>15</v>
      </c>
      <c r="C1" s="175"/>
      <c r="D1" s="175"/>
      <c r="E1" s="175"/>
      <c r="F1" s="175"/>
      <c r="G1" s="175"/>
      <c r="H1" s="175"/>
      <c r="I1" s="174">
        <f>Summary!D2</f>
        <v>46130</v>
      </c>
      <c r="J1" s="175"/>
    </row>
    <row r="2" spans="1:15" ht="21" customHeight="1" x14ac:dyDescent="0.25">
      <c r="B2" s="2"/>
      <c r="C2" s="2"/>
      <c r="D2" s="2"/>
      <c r="E2" s="3"/>
      <c r="F2" s="16"/>
      <c r="G2" s="136"/>
      <c r="I2" s="5"/>
    </row>
    <row r="3" spans="1:15" ht="42" customHeight="1" x14ac:dyDescent="0.25">
      <c r="A3" s="47" t="s">
        <v>30</v>
      </c>
      <c r="B3" s="47" t="s">
        <v>17</v>
      </c>
      <c r="C3" s="6" t="s">
        <v>18</v>
      </c>
      <c r="D3" s="6" t="s">
        <v>19</v>
      </c>
      <c r="E3" s="7" t="s">
        <v>20</v>
      </c>
      <c r="F3" s="8" t="s">
        <v>56</v>
      </c>
      <c r="G3" s="137" t="s">
        <v>21</v>
      </c>
      <c r="H3" s="6" t="s">
        <v>22</v>
      </c>
      <c r="I3" s="6" t="s">
        <v>23</v>
      </c>
      <c r="J3" s="6" t="s">
        <v>24</v>
      </c>
      <c r="K3" s="144"/>
      <c r="L3" s="4"/>
      <c r="M3" s="161"/>
      <c r="N3" s="4"/>
    </row>
    <row r="4" spans="1:15" ht="21" customHeight="1" x14ac:dyDescent="0.25">
      <c r="A4" s="30">
        <v>1</v>
      </c>
      <c r="B4" s="185" t="s">
        <v>129</v>
      </c>
      <c r="C4" s="35" t="s">
        <v>59</v>
      </c>
      <c r="D4" s="35">
        <v>566362</v>
      </c>
      <c r="E4" s="33" t="s">
        <v>119</v>
      </c>
      <c r="F4" s="35">
        <v>24</v>
      </c>
      <c r="G4" s="112">
        <v>1.55</v>
      </c>
      <c r="H4" s="112">
        <v>1.55</v>
      </c>
      <c r="I4" s="28">
        <v>48</v>
      </c>
      <c r="J4" s="14">
        <f>I4*H4</f>
        <v>74.400000000000006</v>
      </c>
      <c r="M4" s="105"/>
      <c r="O4" s="78"/>
    </row>
    <row r="5" spans="1:15" ht="21" customHeight="1" x14ac:dyDescent="0.25">
      <c r="A5" s="30">
        <v>2</v>
      </c>
      <c r="B5" s="192"/>
      <c r="C5" s="31">
        <v>8888626117133</v>
      </c>
      <c r="D5" s="35">
        <v>568210</v>
      </c>
      <c r="E5" s="62" t="s">
        <v>104</v>
      </c>
      <c r="F5" s="30">
        <v>20</v>
      </c>
      <c r="G5" s="112">
        <v>2.99</v>
      </c>
      <c r="H5" s="112">
        <v>2.99</v>
      </c>
      <c r="I5" s="28">
        <v>60</v>
      </c>
      <c r="J5" s="14">
        <f t="shared" ref="J5:J29" si="0">I5*H5</f>
        <v>179.4</v>
      </c>
      <c r="M5" s="105"/>
      <c r="O5" s="78"/>
    </row>
    <row r="6" spans="1:15" ht="21" customHeight="1" x14ac:dyDescent="0.25">
      <c r="A6" s="30">
        <v>3</v>
      </c>
      <c r="B6" s="185" t="s">
        <v>205</v>
      </c>
      <c r="C6" s="31">
        <v>8888626174822</v>
      </c>
      <c r="D6" s="35">
        <v>572863</v>
      </c>
      <c r="E6" s="33" t="s">
        <v>372</v>
      </c>
      <c r="F6" s="35">
        <v>12</v>
      </c>
      <c r="G6" s="112">
        <v>3</v>
      </c>
      <c r="H6" s="112">
        <v>3</v>
      </c>
      <c r="I6" s="28">
        <v>36</v>
      </c>
      <c r="J6" s="14">
        <f t="shared" si="0"/>
        <v>108</v>
      </c>
      <c r="M6" s="105"/>
      <c r="O6" s="78"/>
    </row>
    <row r="7" spans="1:15" ht="21" customHeight="1" x14ac:dyDescent="0.25">
      <c r="A7" s="30">
        <v>4</v>
      </c>
      <c r="B7" s="192"/>
      <c r="C7" s="25">
        <v>8888626118000</v>
      </c>
      <c r="D7" s="35">
        <v>568285</v>
      </c>
      <c r="E7" s="101" t="s">
        <v>100</v>
      </c>
      <c r="F7" s="35">
        <v>12</v>
      </c>
      <c r="G7" s="112">
        <v>1.75</v>
      </c>
      <c r="H7" s="112">
        <v>1.75</v>
      </c>
      <c r="I7" s="28">
        <v>36</v>
      </c>
      <c r="J7" s="14">
        <f t="shared" si="0"/>
        <v>63</v>
      </c>
      <c r="M7" s="105"/>
      <c r="O7" s="78"/>
    </row>
    <row r="8" spans="1:15" ht="21" customHeight="1" x14ac:dyDescent="0.25">
      <c r="A8" s="30">
        <v>5</v>
      </c>
      <c r="B8" s="192"/>
      <c r="C8" s="25">
        <v>8888626158372</v>
      </c>
      <c r="D8" s="35">
        <v>570939</v>
      </c>
      <c r="E8" s="159" t="s">
        <v>204</v>
      </c>
      <c r="F8" s="35">
        <v>24</v>
      </c>
      <c r="G8" s="112">
        <v>1.75</v>
      </c>
      <c r="H8" s="112">
        <v>1.75</v>
      </c>
      <c r="I8" s="28">
        <v>72</v>
      </c>
      <c r="J8" s="14">
        <f t="shared" si="0"/>
        <v>126</v>
      </c>
      <c r="M8" s="105"/>
      <c r="O8" s="78"/>
    </row>
    <row r="9" spans="1:15" ht="21" customHeight="1" x14ac:dyDescent="0.25">
      <c r="A9" s="30">
        <v>6</v>
      </c>
      <c r="B9" s="192"/>
      <c r="C9" s="107">
        <v>8888626158419</v>
      </c>
      <c r="D9" s="79">
        <v>570943</v>
      </c>
      <c r="E9" s="69" t="s">
        <v>368</v>
      </c>
      <c r="F9" s="79">
        <v>24</v>
      </c>
      <c r="G9" s="113">
        <v>1.2</v>
      </c>
      <c r="H9" s="113">
        <v>1.2</v>
      </c>
      <c r="I9" s="28">
        <v>48</v>
      </c>
      <c r="J9" s="14">
        <f t="shared" si="0"/>
        <v>57.599999999999994</v>
      </c>
      <c r="M9" s="105"/>
      <c r="O9" s="78"/>
    </row>
    <row r="10" spans="1:15" ht="21" customHeight="1" x14ac:dyDescent="0.25">
      <c r="A10" s="30">
        <v>7</v>
      </c>
      <c r="B10" s="186"/>
      <c r="C10" s="102" t="s">
        <v>186</v>
      </c>
      <c r="D10" s="35">
        <v>568097</v>
      </c>
      <c r="E10" s="62" t="s">
        <v>187</v>
      </c>
      <c r="F10" s="30">
        <v>6</v>
      </c>
      <c r="G10" s="112">
        <v>5.99</v>
      </c>
      <c r="H10" s="112">
        <v>5.99</v>
      </c>
      <c r="I10" s="28">
        <v>30</v>
      </c>
      <c r="J10" s="14">
        <f t="shared" si="0"/>
        <v>179.70000000000002</v>
      </c>
      <c r="M10" s="105"/>
      <c r="O10" s="78"/>
    </row>
    <row r="11" spans="1:15" ht="21" customHeight="1" x14ac:dyDescent="0.25">
      <c r="A11" s="30">
        <v>8</v>
      </c>
      <c r="B11" s="199" t="s">
        <v>211</v>
      </c>
      <c r="C11" s="25">
        <v>8888626139692</v>
      </c>
      <c r="D11" s="35">
        <v>569425</v>
      </c>
      <c r="E11" s="32" t="s">
        <v>75</v>
      </c>
      <c r="F11" s="36">
        <v>12</v>
      </c>
      <c r="G11" s="112">
        <v>1</v>
      </c>
      <c r="H11" s="112">
        <v>1</v>
      </c>
      <c r="I11" s="28">
        <v>168</v>
      </c>
      <c r="J11" s="14">
        <f t="shared" si="0"/>
        <v>168</v>
      </c>
      <c r="M11" s="105"/>
      <c r="O11" s="78"/>
    </row>
    <row r="12" spans="1:15" ht="21" customHeight="1" x14ac:dyDescent="0.25">
      <c r="A12" s="30">
        <v>9</v>
      </c>
      <c r="B12" s="200"/>
      <c r="C12" s="25">
        <v>8888626139715</v>
      </c>
      <c r="D12" s="35">
        <v>569427</v>
      </c>
      <c r="E12" s="32" t="s">
        <v>76</v>
      </c>
      <c r="F12" s="36">
        <v>12</v>
      </c>
      <c r="G12" s="112">
        <v>1</v>
      </c>
      <c r="H12" s="112">
        <v>1</v>
      </c>
      <c r="I12" s="28">
        <v>144</v>
      </c>
      <c r="J12" s="14">
        <f t="shared" si="0"/>
        <v>144</v>
      </c>
      <c r="M12" s="105"/>
      <c r="O12" s="78"/>
    </row>
    <row r="13" spans="1:15" ht="21" customHeight="1" x14ac:dyDescent="0.25">
      <c r="A13" s="30">
        <v>10</v>
      </c>
      <c r="B13" s="201"/>
      <c r="C13" s="25">
        <v>8888626139708</v>
      </c>
      <c r="D13" s="35">
        <v>569426</v>
      </c>
      <c r="E13" s="101" t="s">
        <v>192</v>
      </c>
      <c r="F13" s="36">
        <v>12</v>
      </c>
      <c r="G13" s="112">
        <v>1</v>
      </c>
      <c r="H13" s="112">
        <v>1</v>
      </c>
      <c r="I13" s="28">
        <v>144</v>
      </c>
      <c r="J13" s="14">
        <f t="shared" si="0"/>
        <v>144</v>
      </c>
      <c r="M13" s="105"/>
      <c r="O13" s="78"/>
    </row>
    <row r="14" spans="1:15" ht="21" customHeight="1" x14ac:dyDescent="0.25">
      <c r="A14" s="30">
        <v>11</v>
      </c>
      <c r="B14" s="129" t="s">
        <v>276</v>
      </c>
      <c r="C14" s="25">
        <v>8888626167787</v>
      </c>
      <c r="D14" s="35">
        <v>572059</v>
      </c>
      <c r="E14" s="101" t="s">
        <v>275</v>
      </c>
      <c r="F14" s="36">
        <v>20</v>
      </c>
      <c r="G14" s="112">
        <v>3.5</v>
      </c>
      <c r="H14" s="112">
        <v>3.5</v>
      </c>
      <c r="I14" s="28">
        <v>20</v>
      </c>
      <c r="J14" s="14">
        <f t="shared" si="0"/>
        <v>70</v>
      </c>
      <c r="M14" s="105"/>
      <c r="O14" s="78"/>
    </row>
    <row r="15" spans="1:15" ht="21" customHeight="1" x14ac:dyDescent="0.25">
      <c r="A15" s="30">
        <v>12</v>
      </c>
      <c r="B15" s="131" t="s">
        <v>396</v>
      </c>
      <c r="C15" s="25">
        <v>8888626169392</v>
      </c>
      <c r="D15" s="35">
        <v>572182</v>
      </c>
      <c r="E15" s="101" t="s">
        <v>240</v>
      </c>
      <c r="F15" s="36">
        <v>30</v>
      </c>
      <c r="G15" s="112">
        <v>2.44</v>
      </c>
      <c r="H15" s="112">
        <v>2.44</v>
      </c>
      <c r="I15" s="28">
        <v>30</v>
      </c>
      <c r="J15" s="14">
        <f t="shared" si="0"/>
        <v>73.2</v>
      </c>
      <c r="M15" s="105"/>
      <c r="O15" s="78"/>
    </row>
    <row r="16" spans="1:15" ht="21" customHeight="1" x14ac:dyDescent="0.25">
      <c r="A16" s="30">
        <v>13</v>
      </c>
      <c r="B16" s="129" t="s">
        <v>298</v>
      </c>
      <c r="C16" s="25">
        <v>8888626168111</v>
      </c>
      <c r="D16" s="35">
        <v>571753</v>
      </c>
      <c r="E16" s="101" t="s">
        <v>297</v>
      </c>
      <c r="F16" s="36">
        <v>8</v>
      </c>
      <c r="G16" s="112">
        <v>6.95</v>
      </c>
      <c r="H16" s="112">
        <v>6.95</v>
      </c>
      <c r="I16" s="28">
        <v>40</v>
      </c>
      <c r="J16" s="14">
        <f t="shared" si="0"/>
        <v>278</v>
      </c>
      <c r="M16" s="105"/>
      <c r="O16" s="78"/>
    </row>
    <row r="17" spans="1:15" ht="21" customHeight="1" x14ac:dyDescent="0.25">
      <c r="A17" s="30">
        <v>14</v>
      </c>
      <c r="B17" s="199" t="s">
        <v>265</v>
      </c>
      <c r="C17" s="25">
        <v>8888626170374</v>
      </c>
      <c r="D17" s="35">
        <v>572167</v>
      </c>
      <c r="E17" s="101" t="s">
        <v>365</v>
      </c>
      <c r="F17" s="36">
        <v>10</v>
      </c>
      <c r="G17" s="112">
        <v>1</v>
      </c>
      <c r="H17" s="112">
        <v>1</v>
      </c>
      <c r="I17" s="28">
        <v>30</v>
      </c>
      <c r="J17" s="14">
        <f t="shared" si="0"/>
        <v>30</v>
      </c>
      <c r="M17" s="105"/>
      <c r="O17" s="78"/>
    </row>
    <row r="18" spans="1:15" ht="21" customHeight="1" x14ac:dyDescent="0.25">
      <c r="A18" s="30">
        <v>15</v>
      </c>
      <c r="B18" s="200"/>
      <c r="C18" s="31">
        <v>8888626170367</v>
      </c>
      <c r="D18" s="35">
        <v>572166</v>
      </c>
      <c r="E18" s="26" t="s">
        <v>366</v>
      </c>
      <c r="F18" s="30">
        <v>10</v>
      </c>
      <c r="G18" s="112">
        <v>1</v>
      </c>
      <c r="H18" s="112">
        <v>1</v>
      </c>
      <c r="I18" s="28">
        <v>30</v>
      </c>
      <c r="J18" s="14">
        <f t="shared" si="0"/>
        <v>30</v>
      </c>
      <c r="M18" s="105"/>
      <c r="O18" s="78"/>
    </row>
    <row r="19" spans="1:15" ht="21" customHeight="1" x14ac:dyDescent="0.25">
      <c r="A19" s="30">
        <v>16</v>
      </c>
      <c r="B19" s="200"/>
      <c r="C19" s="31">
        <v>8888626150390</v>
      </c>
      <c r="D19" s="35">
        <v>570610</v>
      </c>
      <c r="E19" s="26" t="s">
        <v>367</v>
      </c>
      <c r="F19" s="30">
        <v>22</v>
      </c>
      <c r="G19" s="112">
        <v>4.45</v>
      </c>
      <c r="H19" s="112">
        <v>4.45</v>
      </c>
      <c r="I19" s="28">
        <v>44</v>
      </c>
      <c r="J19" s="14">
        <f t="shared" si="0"/>
        <v>195.8</v>
      </c>
      <c r="M19" s="105"/>
      <c r="O19" s="78"/>
    </row>
    <row r="20" spans="1:15" ht="21" customHeight="1" x14ac:dyDescent="0.25">
      <c r="A20" s="30">
        <v>17</v>
      </c>
      <c r="B20" s="200"/>
      <c r="C20" s="25">
        <v>8888626150369</v>
      </c>
      <c r="D20" s="35">
        <v>570607</v>
      </c>
      <c r="E20" s="101" t="s">
        <v>305</v>
      </c>
      <c r="F20" s="36">
        <v>22</v>
      </c>
      <c r="G20" s="112">
        <v>4.45</v>
      </c>
      <c r="H20" s="112">
        <v>4.45</v>
      </c>
      <c r="I20" s="28">
        <v>44</v>
      </c>
      <c r="J20" s="14">
        <f t="shared" si="0"/>
        <v>195.8</v>
      </c>
      <c r="M20" s="105"/>
      <c r="O20" s="78"/>
    </row>
    <row r="21" spans="1:15" ht="21" customHeight="1" x14ac:dyDescent="0.25">
      <c r="A21" s="30">
        <v>18</v>
      </c>
      <c r="B21" s="200"/>
      <c r="C21" s="25">
        <v>8888626161792</v>
      </c>
      <c r="D21" s="35">
        <v>571326</v>
      </c>
      <c r="E21" s="101" t="s">
        <v>306</v>
      </c>
      <c r="F21" s="36">
        <v>22</v>
      </c>
      <c r="G21" s="112">
        <v>5.45</v>
      </c>
      <c r="H21" s="112">
        <v>5.45</v>
      </c>
      <c r="I21" s="28">
        <v>22</v>
      </c>
      <c r="J21" s="14">
        <f t="shared" si="0"/>
        <v>119.9</v>
      </c>
      <c r="M21" s="105"/>
      <c r="O21" s="78"/>
    </row>
    <row r="22" spans="1:15" ht="21" customHeight="1" x14ac:dyDescent="0.25">
      <c r="A22" s="30">
        <v>19</v>
      </c>
      <c r="B22" s="200"/>
      <c r="C22" s="25" t="s">
        <v>261</v>
      </c>
      <c r="D22" s="35">
        <v>570609</v>
      </c>
      <c r="E22" s="101" t="s">
        <v>262</v>
      </c>
      <c r="F22" s="36">
        <v>22</v>
      </c>
      <c r="G22" s="112">
        <v>5.45</v>
      </c>
      <c r="H22" s="112">
        <v>5.45</v>
      </c>
      <c r="I22" s="28">
        <v>66</v>
      </c>
      <c r="J22" s="14">
        <f t="shared" si="0"/>
        <v>359.7</v>
      </c>
      <c r="M22" s="105"/>
      <c r="O22" s="78"/>
    </row>
    <row r="23" spans="1:15" ht="21" customHeight="1" x14ac:dyDescent="0.25">
      <c r="A23" s="30">
        <v>20</v>
      </c>
      <c r="B23" s="201"/>
      <c r="C23" s="25" t="s">
        <v>263</v>
      </c>
      <c r="D23" s="35">
        <v>570608</v>
      </c>
      <c r="E23" s="101" t="s">
        <v>264</v>
      </c>
      <c r="F23" s="36">
        <v>22</v>
      </c>
      <c r="G23" s="112">
        <v>4.45</v>
      </c>
      <c r="H23" s="112">
        <v>4.45</v>
      </c>
      <c r="I23" s="28">
        <v>66</v>
      </c>
      <c r="J23" s="14">
        <f t="shared" si="0"/>
        <v>293.7</v>
      </c>
      <c r="M23" s="105"/>
      <c r="O23" s="78"/>
    </row>
    <row r="24" spans="1:15" ht="21" customHeight="1" x14ac:dyDescent="0.25">
      <c r="A24" s="30">
        <v>21</v>
      </c>
      <c r="B24" s="30" t="s">
        <v>185</v>
      </c>
      <c r="C24" s="25">
        <v>8888626159805</v>
      </c>
      <c r="D24" s="35">
        <v>571074</v>
      </c>
      <c r="E24" s="62" t="s">
        <v>170</v>
      </c>
      <c r="F24" s="30">
        <v>40</v>
      </c>
      <c r="G24" s="112">
        <v>1.35</v>
      </c>
      <c r="H24" s="112">
        <v>1.35</v>
      </c>
      <c r="I24" s="28">
        <v>520</v>
      </c>
      <c r="J24" s="14">
        <f t="shared" si="0"/>
        <v>702</v>
      </c>
      <c r="M24" s="105"/>
      <c r="O24" s="78"/>
    </row>
    <row r="25" spans="1:15" ht="21" customHeight="1" x14ac:dyDescent="0.25">
      <c r="A25" s="30">
        <v>22</v>
      </c>
      <c r="B25" s="62" t="s">
        <v>396</v>
      </c>
      <c r="C25" s="25">
        <v>8888626128801</v>
      </c>
      <c r="D25" s="35">
        <v>569181</v>
      </c>
      <c r="E25" s="62" t="s">
        <v>71</v>
      </c>
      <c r="F25" s="98">
        <v>12</v>
      </c>
      <c r="G25" s="112">
        <v>5.95</v>
      </c>
      <c r="H25" s="112">
        <v>5.95</v>
      </c>
      <c r="I25" s="29">
        <v>48</v>
      </c>
      <c r="J25" s="14">
        <f t="shared" si="0"/>
        <v>285.60000000000002</v>
      </c>
      <c r="M25" s="105"/>
      <c r="O25" s="78"/>
    </row>
    <row r="26" spans="1:15" ht="21" customHeight="1" x14ac:dyDescent="0.25">
      <c r="A26" s="30">
        <v>23</v>
      </c>
      <c r="B26" s="185" t="s">
        <v>206</v>
      </c>
      <c r="C26" s="107">
        <v>8888626181776</v>
      </c>
      <c r="D26" s="79">
        <v>573030</v>
      </c>
      <c r="E26" s="40" t="s">
        <v>369</v>
      </c>
      <c r="F26" s="108">
        <v>12</v>
      </c>
      <c r="G26" s="112">
        <v>2.5</v>
      </c>
      <c r="H26" s="112">
        <v>2.5</v>
      </c>
      <c r="I26" s="29">
        <v>24</v>
      </c>
      <c r="J26" s="14">
        <f t="shared" si="0"/>
        <v>60</v>
      </c>
      <c r="M26" s="105"/>
      <c r="O26" s="78"/>
    </row>
    <row r="27" spans="1:15" ht="21" customHeight="1" x14ac:dyDescent="0.25">
      <c r="A27" s="30">
        <v>24</v>
      </c>
      <c r="B27" s="192"/>
      <c r="C27" s="107">
        <v>8888626181790</v>
      </c>
      <c r="D27" s="79">
        <v>573031</v>
      </c>
      <c r="E27" s="40" t="s">
        <v>370</v>
      </c>
      <c r="F27" s="108">
        <v>12</v>
      </c>
      <c r="G27" s="112">
        <v>2.5</v>
      </c>
      <c r="H27" s="112">
        <v>2.5</v>
      </c>
      <c r="I27" s="29">
        <v>36</v>
      </c>
      <c r="J27" s="14">
        <f t="shared" si="0"/>
        <v>90</v>
      </c>
      <c r="M27" s="105"/>
      <c r="O27" s="78"/>
    </row>
    <row r="28" spans="1:15" ht="21" customHeight="1" x14ac:dyDescent="0.25">
      <c r="A28" s="30">
        <v>25</v>
      </c>
      <c r="B28" s="186"/>
      <c r="C28" s="107">
        <v>8888626181783</v>
      </c>
      <c r="D28" s="79">
        <v>573032</v>
      </c>
      <c r="E28" s="40" t="s">
        <v>371</v>
      </c>
      <c r="F28" s="108">
        <v>12</v>
      </c>
      <c r="G28" s="112">
        <v>2.5</v>
      </c>
      <c r="H28" s="112">
        <v>2.5</v>
      </c>
      <c r="I28" s="29">
        <v>60</v>
      </c>
      <c r="J28" s="14">
        <f t="shared" si="0"/>
        <v>150</v>
      </c>
      <c r="M28" s="105"/>
      <c r="O28" s="78"/>
    </row>
    <row r="29" spans="1:15" ht="21" customHeight="1" x14ac:dyDescent="0.25">
      <c r="A29" s="30">
        <v>26</v>
      </c>
      <c r="B29" s="30" t="s">
        <v>175</v>
      </c>
      <c r="C29" s="87" t="s">
        <v>179</v>
      </c>
      <c r="D29" s="79">
        <v>571096</v>
      </c>
      <c r="E29" s="88" t="s">
        <v>180</v>
      </c>
      <c r="F29" s="89">
        <v>18</v>
      </c>
      <c r="G29" s="112">
        <v>2.8</v>
      </c>
      <c r="H29" s="112">
        <v>2.8</v>
      </c>
      <c r="I29" s="28">
        <v>216</v>
      </c>
      <c r="J29" s="14">
        <f t="shared" si="0"/>
        <v>604.79999999999995</v>
      </c>
      <c r="M29" s="105"/>
      <c r="O29" s="78"/>
    </row>
    <row r="30" spans="1:15" ht="21" customHeight="1" x14ac:dyDescent="0.25">
      <c r="A30" s="171" t="s">
        <v>16</v>
      </c>
      <c r="B30" s="178"/>
      <c r="C30" s="178"/>
      <c r="D30" s="178"/>
      <c r="E30" s="178"/>
      <c r="F30" s="178"/>
      <c r="G30" s="178"/>
      <c r="H30" s="178"/>
      <c r="I30" s="195"/>
      <c r="J30" s="15">
        <f>SUM(J4:J29)</f>
        <v>4782.5999999999995</v>
      </c>
      <c r="M30" s="105"/>
    </row>
    <row r="31" spans="1:15" ht="21" customHeight="1" x14ac:dyDescent="0.25">
      <c r="A31" s="11"/>
      <c r="B31" s="12"/>
      <c r="C31" s="12"/>
      <c r="D31" s="12"/>
      <c r="E31" s="10"/>
      <c r="F31" s="11"/>
      <c r="G31" s="138"/>
      <c r="H31" s="11"/>
      <c r="I31" s="5"/>
      <c r="J31" s="10"/>
    </row>
    <row r="32" spans="1:15" ht="21" customHeight="1" x14ac:dyDescent="0.25">
      <c r="A32" s="11"/>
      <c r="B32" s="12"/>
      <c r="C32" s="12"/>
      <c r="D32" s="12"/>
      <c r="E32" s="10"/>
      <c r="F32" s="11"/>
      <c r="G32" s="139"/>
      <c r="H32" s="77"/>
      <c r="I32" s="5"/>
      <c r="J32" s="10"/>
    </row>
    <row r="33" spans="1:10" ht="21" customHeight="1" x14ac:dyDescent="0.25">
      <c r="A33" s="11"/>
      <c r="B33" s="12"/>
      <c r="C33" s="12"/>
      <c r="D33" s="12"/>
      <c r="E33" s="10"/>
      <c r="F33" s="11"/>
      <c r="G33" s="139"/>
      <c r="H33" s="11"/>
      <c r="I33" s="5"/>
      <c r="J33" s="10"/>
    </row>
    <row r="34" spans="1:10" ht="21" customHeight="1" x14ac:dyDescent="0.25">
      <c r="A34" s="11"/>
      <c r="B34" s="12"/>
      <c r="C34" s="12"/>
      <c r="D34" s="12"/>
      <c r="E34" s="10"/>
      <c r="F34" s="11"/>
      <c r="G34" s="139"/>
      <c r="H34" s="11"/>
      <c r="I34" s="5"/>
      <c r="J34" s="10"/>
    </row>
    <row r="35" spans="1:10" ht="21" customHeight="1" x14ac:dyDescent="0.25">
      <c r="A35" s="11"/>
      <c r="B35" s="12"/>
      <c r="C35" s="12"/>
      <c r="D35" s="12"/>
      <c r="E35" s="10"/>
      <c r="F35" s="11"/>
      <c r="G35" s="139"/>
      <c r="H35" s="11"/>
      <c r="I35" s="5"/>
      <c r="J35" s="10"/>
    </row>
    <row r="36" spans="1:10" ht="21" customHeight="1" x14ac:dyDescent="0.25">
      <c r="A36" s="11"/>
      <c r="B36" s="12"/>
      <c r="C36" s="12"/>
      <c r="D36" s="12"/>
      <c r="E36" s="10"/>
      <c r="F36" s="11"/>
      <c r="G36" s="139"/>
      <c r="H36" s="11"/>
      <c r="I36" s="5"/>
      <c r="J36" s="10"/>
    </row>
    <row r="37" spans="1:10" ht="21" customHeight="1" x14ac:dyDescent="0.25">
      <c r="A37" s="11"/>
      <c r="B37" s="12"/>
      <c r="C37" s="12"/>
      <c r="D37" s="12"/>
      <c r="E37" s="10"/>
      <c r="F37" s="11"/>
      <c r="G37" s="139"/>
      <c r="H37" s="11"/>
      <c r="I37" s="5"/>
      <c r="J37" s="10"/>
    </row>
    <row r="38" spans="1:10" ht="21" customHeight="1" x14ac:dyDescent="0.25">
      <c r="A38" s="11"/>
      <c r="B38" s="12"/>
      <c r="C38" s="12"/>
      <c r="D38" s="12"/>
      <c r="E38" s="10"/>
      <c r="F38" s="11"/>
      <c r="G38" s="139"/>
      <c r="H38" s="11"/>
      <c r="I38" s="5"/>
      <c r="J38" s="10"/>
    </row>
    <row r="39" spans="1:10" ht="21" customHeight="1" x14ac:dyDescent="0.25">
      <c r="A39" s="11"/>
      <c r="B39" s="12"/>
      <c r="C39" s="12"/>
      <c r="D39" s="12"/>
      <c r="E39" s="10"/>
      <c r="F39" s="11"/>
      <c r="G39" s="139"/>
      <c r="H39" s="11"/>
      <c r="I39" s="5"/>
      <c r="J39" s="10"/>
    </row>
    <row r="40" spans="1:10" ht="21" customHeight="1" x14ac:dyDescent="0.25">
      <c r="A40" s="11"/>
      <c r="B40" s="12"/>
      <c r="C40" s="12"/>
      <c r="D40" s="12"/>
      <c r="E40" s="10"/>
      <c r="F40" s="11"/>
      <c r="G40" s="139"/>
      <c r="H40" s="11"/>
      <c r="I40" s="5"/>
      <c r="J40" s="10"/>
    </row>
    <row r="41" spans="1:10" ht="21" customHeight="1" x14ac:dyDescent="0.25">
      <c r="A41" s="11"/>
      <c r="B41" s="12"/>
      <c r="C41" s="12"/>
      <c r="D41" s="12"/>
      <c r="E41" s="10"/>
      <c r="F41" s="11"/>
      <c r="G41" s="139"/>
      <c r="H41" s="11"/>
      <c r="I41" s="5"/>
      <c r="J41" s="10"/>
    </row>
    <row r="42" spans="1:10" ht="21" customHeight="1" x14ac:dyDescent="0.25">
      <c r="A42" s="11"/>
      <c r="B42" s="12"/>
      <c r="C42" s="12"/>
      <c r="D42" s="12"/>
      <c r="E42" s="10"/>
      <c r="F42" s="11"/>
      <c r="G42" s="139"/>
      <c r="H42" s="11"/>
      <c r="I42" s="5"/>
      <c r="J42" s="10"/>
    </row>
    <row r="43" spans="1:10" ht="21" customHeight="1" x14ac:dyDescent="0.25">
      <c r="A43" s="11"/>
      <c r="B43" s="12"/>
      <c r="C43" s="12"/>
      <c r="D43" s="12"/>
      <c r="E43" s="10"/>
      <c r="F43" s="11"/>
      <c r="G43" s="139"/>
      <c r="H43" s="11"/>
      <c r="I43" s="5"/>
      <c r="J43" s="10"/>
    </row>
    <row r="44" spans="1:10" ht="21" customHeight="1" x14ac:dyDescent="0.25">
      <c r="A44" s="11"/>
      <c r="B44" s="12"/>
      <c r="C44" s="12"/>
      <c r="D44" s="12"/>
      <c r="E44" s="10"/>
      <c r="F44" s="11"/>
      <c r="G44" s="139"/>
      <c r="H44" s="11"/>
      <c r="I44" s="5"/>
      <c r="J44" s="10"/>
    </row>
    <row r="45" spans="1:10" ht="21" customHeight="1" x14ac:dyDescent="0.25">
      <c r="A45" s="11"/>
      <c r="B45" s="12"/>
      <c r="C45" s="12"/>
      <c r="D45" s="12"/>
      <c r="E45" s="10"/>
      <c r="F45" s="11"/>
      <c r="G45" s="139"/>
      <c r="H45" s="11"/>
      <c r="I45" s="5"/>
      <c r="J45" s="10"/>
    </row>
    <row r="46" spans="1:10" ht="21" customHeight="1" x14ac:dyDescent="0.25">
      <c r="A46" s="11"/>
      <c r="B46" s="12"/>
      <c r="C46" s="12"/>
      <c r="D46" s="12"/>
      <c r="E46" s="10"/>
      <c r="F46" s="11"/>
      <c r="G46" s="139"/>
      <c r="H46" s="11"/>
      <c r="I46" s="5"/>
      <c r="J46" s="10"/>
    </row>
    <row r="47" spans="1:10" ht="21" customHeight="1" x14ac:dyDescent="0.25">
      <c r="A47" s="11"/>
      <c r="B47" s="12"/>
      <c r="C47" s="12"/>
      <c r="D47" s="12"/>
      <c r="E47" s="10"/>
      <c r="F47" s="11"/>
      <c r="G47" s="139"/>
      <c r="H47" s="11"/>
      <c r="I47" s="5"/>
      <c r="J47" s="10"/>
    </row>
    <row r="48" spans="1:10" ht="21" customHeight="1" x14ac:dyDescent="0.25">
      <c r="A48" s="11"/>
      <c r="B48" s="12"/>
      <c r="C48" s="12"/>
      <c r="D48" s="12"/>
      <c r="E48" s="10"/>
      <c r="F48" s="11"/>
      <c r="G48" s="139"/>
      <c r="H48" s="11"/>
      <c r="I48" s="5"/>
      <c r="J48" s="10"/>
    </row>
    <row r="49" spans="1:10" ht="21" customHeight="1" x14ac:dyDescent="0.25">
      <c r="A49" s="11"/>
      <c r="B49" s="12"/>
      <c r="C49" s="12"/>
      <c r="D49" s="12"/>
      <c r="E49" s="10"/>
      <c r="F49" s="11"/>
      <c r="G49" s="139"/>
      <c r="H49" s="11"/>
      <c r="I49" s="5"/>
      <c r="J49" s="10"/>
    </row>
    <row r="50" spans="1:10" ht="21" customHeight="1" x14ac:dyDescent="0.25">
      <c r="A50" s="11"/>
      <c r="B50" s="12"/>
      <c r="C50" s="12"/>
      <c r="D50" s="12"/>
      <c r="E50" s="10"/>
      <c r="F50" s="11"/>
      <c r="G50" s="139"/>
      <c r="H50" s="11"/>
      <c r="I50" s="5"/>
      <c r="J50" s="10"/>
    </row>
    <row r="51" spans="1:10" ht="21" customHeight="1" x14ac:dyDescent="0.25">
      <c r="A51" s="11"/>
      <c r="B51" s="12"/>
      <c r="C51" s="12"/>
      <c r="D51" s="12"/>
      <c r="E51" s="10"/>
      <c r="F51" s="11"/>
      <c r="G51" s="139"/>
      <c r="H51" s="11"/>
      <c r="I51" s="5"/>
      <c r="J51" s="10"/>
    </row>
    <row r="52" spans="1:10" ht="21" customHeight="1" x14ac:dyDescent="0.25">
      <c r="A52" s="11"/>
      <c r="B52" s="12"/>
      <c r="C52" s="12"/>
      <c r="D52" s="12"/>
      <c r="E52" s="10"/>
      <c r="F52" s="11"/>
      <c r="G52" s="139"/>
      <c r="H52" s="11"/>
      <c r="I52" s="5"/>
      <c r="J52" s="10"/>
    </row>
    <row r="53" spans="1:10" ht="21" customHeight="1" x14ac:dyDescent="0.25">
      <c r="A53" s="11"/>
      <c r="B53" s="12"/>
      <c r="C53" s="12"/>
      <c r="D53" s="12"/>
      <c r="E53" s="10"/>
      <c r="F53" s="11"/>
      <c r="G53" s="139"/>
      <c r="H53" s="11"/>
      <c r="I53" s="5"/>
      <c r="J53" s="10"/>
    </row>
    <row r="54" spans="1:10" ht="21" customHeight="1" x14ac:dyDescent="0.25">
      <c r="A54" s="11"/>
      <c r="B54" s="12"/>
      <c r="C54" s="12"/>
      <c r="D54" s="12"/>
      <c r="E54" s="10"/>
      <c r="F54" s="11"/>
      <c r="G54" s="139"/>
      <c r="H54" s="11"/>
      <c r="I54" s="5"/>
      <c r="J54" s="10"/>
    </row>
    <row r="55" spans="1:10" ht="21" customHeight="1" x14ac:dyDescent="0.25">
      <c r="A55" s="11"/>
      <c r="B55" s="12"/>
      <c r="C55" s="12"/>
      <c r="D55" s="12"/>
      <c r="E55" s="10"/>
      <c r="F55" s="11"/>
      <c r="G55" s="139"/>
      <c r="H55" s="11"/>
      <c r="I55" s="5"/>
      <c r="J55" s="10"/>
    </row>
    <row r="56" spans="1:10" ht="21" customHeight="1" x14ac:dyDescent="0.25">
      <c r="A56" s="11"/>
      <c r="B56" s="12"/>
      <c r="C56" s="12"/>
      <c r="D56" s="12"/>
      <c r="E56" s="10"/>
      <c r="F56" s="11"/>
      <c r="G56" s="139"/>
      <c r="H56" s="11"/>
      <c r="I56" s="5"/>
      <c r="J56" s="10"/>
    </row>
    <row r="57" spans="1:10" ht="21" customHeight="1" x14ac:dyDescent="0.25">
      <c r="A57" s="11"/>
      <c r="B57" s="12"/>
      <c r="C57" s="12"/>
      <c r="D57" s="12"/>
      <c r="E57" s="10"/>
      <c r="F57" s="11"/>
      <c r="G57" s="139"/>
      <c r="H57" s="11"/>
      <c r="I57" s="5"/>
      <c r="J57" s="10"/>
    </row>
    <row r="58" spans="1:10" ht="21" customHeight="1" x14ac:dyDescent="0.25">
      <c r="A58" s="11"/>
      <c r="B58" s="12"/>
      <c r="C58" s="12"/>
      <c r="D58" s="12"/>
      <c r="E58" s="10"/>
      <c r="F58" s="11"/>
      <c r="G58" s="139"/>
      <c r="H58" s="11"/>
      <c r="I58" s="5"/>
      <c r="J58" s="10"/>
    </row>
    <row r="59" spans="1:10" ht="21" customHeight="1" x14ac:dyDescent="0.25">
      <c r="A59" s="11"/>
      <c r="B59" s="12"/>
      <c r="C59" s="12"/>
      <c r="D59" s="12"/>
      <c r="E59" s="10"/>
      <c r="F59" s="11"/>
      <c r="G59" s="139"/>
      <c r="H59" s="11"/>
      <c r="I59" s="5"/>
      <c r="J59" s="10"/>
    </row>
    <row r="60" spans="1:10" ht="21" customHeight="1" x14ac:dyDescent="0.25">
      <c r="A60" s="11"/>
      <c r="B60" s="12"/>
      <c r="C60" s="12"/>
      <c r="D60" s="12"/>
      <c r="E60" s="10"/>
      <c r="F60" s="11"/>
      <c r="G60" s="139"/>
      <c r="H60" s="11"/>
      <c r="I60" s="5"/>
      <c r="J60" s="10"/>
    </row>
    <row r="61" spans="1:10" ht="21" customHeight="1" x14ac:dyDescent="0.25">
      <c r="A61" s="11"/>
      <c r="B61" s="12"/>
      <c r="C61" s="12"/>
      <c r="D61" s="12"/>
      <c r="E61" s="10"/>
      <c r="F61" s="11"/>
      <c r="G61" s="139"/>
      <c r="H61" s="11"/>
      <c r="I61" s="5"/>
      <c r="J61" s="10"/>
    </row>
    <row r="62" spans="1:10" ht="21" customHeight="1" x14ac:dyDescent="0.25">
      <c r="A62" s="11"/>
      <c r="B62" s="12"/>
      <c r="C62" s="12"/>
      <c r="D62" s="12"/>
      <c r="E62" s="10"/>
      <c r="F62" s="11"/>
      <c r="G62" s="139"/>
      <c r="H62" s="11"/>
      <c r="I62" s="5"/>
      <c r="J62" s="10"/>
    </row>
    <row r="63" spans="1:10" ht="21" customHeight="1" x14ac:dyDescent="0.25">
      <c r="A63" s="11"/>
      <c r="B63" s="12"/>
      <c r="C63" s="12"/>
      <c r="D63" s="12"/>
      <c r="E63" s="10"/>
      <c r="F63" s="11"/>
      <c r="G63" s="139"/>
      <c r="H63" s="11"/>
      <c r="I63" s="5"/>
      <c r="J63" s="10"/>
    </row>
    <row r="64" spans="1:10" ht="21" customHeight="1" x14ac:dyDescent="0.25">
      <c r="A64" s="11"/>
      <c r="B64" s="12"/>
      <c r="C64" s="12"/>
      <c r="D64" s="12"/>
      <c r="E64" s="10"/>
      <c r="F64" s="11"/>
      <c r="G64" s="139"/>
      <c r="H64" s="11"/>
      <c r="I64" s="5"/>
      <c r="J64" s="10"/>
    </row>
    <row r="65" spans="1:10" ht="21" customHeight="1" x14ac:dyDescent="0.25">
      <c r="A65" s="11"/>
      <c r="B65" s="12"/>
      <c r="C65" s="12"/>
      <c r="D65" s="12"/>
      <c r="E65" s="10"/>
      <c r="F65" s="11"/>
      <c r="G65" s="139"/>
      <c r="H65" s="11"/>
      <c r="I65" s="5"/>
      <c r="J65" s="10"/>
    </row>
    <row r="66" spans="1:10" ht="21" customHeight="1" x14ac:dyDescent="0.25">
      <c r="A66" s="11"/>
      <c r="B66" s="12"/>
      <c r="C66" s="12"/>
      <c r="D66" s="12"/>
      <c r="E66" s="10"/>
      <c r="F66" s="11"/>
      <c r="G66" s="139"/>
      <c r="H66" s="11"/>
      <c r="I66" s="5"/>
      <c r="J66" s="10"/>
    </row>
    <row r="67" spans="1:10" ht="21" customHeight="1" x14ac:dyDescent="0.25">
      <c r="A67" s="11"/>
      <c r="B67" s="12"/>
      <c r="C67" s="12"/>
      <c r="D67" s="12"/>
      <c r="E67" s="10"/>
      <c r="F67" s="11"/>
      <c r="G67" s="139"/>
      <c r="H67" s="11"/>
      <c r="I67" s="5"/>
      <c r="J67" s="10"/>
    </row>
    <row r="68" spans="1:10" ht="21" customHeight="1" x14ac:dyDescent="0.25">
      <c r="A68" s="11"/>
      <c r="B68" s="12"/>
      <c r="C68" s="12"/>
      <c r="D68" s="12"/>
      <c r="E68" s="10"/>
      <c r="F68" s="11"/>
      <c r="G68" s="139"/>
      <c r="H68" s="11"/>
      <c r="I68" s="5"/>
      <c r="J68" s="10"/>
    </row>
    <row r="69" spans="1:10" ht="21" customHeight="1" x14ac:dyDescent="0.25">
      <c r="A69" s="11"/>
      <c r="B69" s="12"/>
      <c r="C69" s="12"/>
      <c r="D69" s="12"/>
      <c r="E69" s="10"/>
      <c r="F69" s="11"/>
      <c r="G69" s="139"/>
      <c r="H69" s="11"/>
      <c r="I69" s="5"/>
      <c r="J69" s="10"/>
    </row>
    <row r="70" spans="1:10" ht="21" customHeight="1" x14ac:dyDescent="0.25">
      <c r="A70" s="11"/>
      <c r="B70" s="12"/>
      <c r="C70" s="12"/>
      <c r="D70" s="12"/>
      <c r="E70" s="10"/>
      <c r="F70" s="11"/>
      <c r="G70" s="139"/>
      <c r="H70" s="11"/>
      <c r="I70" s="5"/>
      <c r="J70" s="10"/>
    </row>
    <row r="71" spans="1:10" ht="21" customHeight="1" x14ac:dyDescent="0.25">
      <c r="A71" s="11"/>
      <c r="B71" s="12"/>
      <c r="C71" s="12"/>
      <c r="D71" s="12"/>
      <c r="E71" s="10"/>
      <c r="F71" s="11"/>
      <c r="G71" s="139"/>
      <c r="H71" s="11"/>
      <c r="I71" s="5"/>
      <c r="J71" s="10"/>
    </row>
    <row r="72" spans="1:10" ht="21" customHeight="1" x14ac:dyDescent="0.25">
      <c r="A72" s="11"/>
      <c r="B72" s="12"/>
      <c r="C72" s="12"/>
      <c r="D72" s="12"/>
      <c r="E72" s="10"/>
      <c r="F72" s="11"/>
      <c r="G72" s="139"/>
      <c r="H72" s="11"/>
      <c r="I72" s="5"/>
      <c r="J72" s="10"/>
    </row>
    <row r="73" spans="1:10" ht="21" customHeight="1" x14ac:dyDescent="0.25">
      <c r="A73" s="11"/>
      <c r="B73" s="12"/>
      <c r="C73" s="12"/>
      <c r="D73" s="12"/>
      <c r="E73" s="10"/>
      <c r="F73" s="11"/>
      <c r="G73" s="139"/>
      <c r="H73" s="11"/>
      <c r="I73" s="5"/>
      <c r="J73" s="10"/>
    </row>
    <row r="74" spans="1:10" ht="21" customHeight="1" x14ac:dyDescent="0.25">
      <c r="A74" s="11"/>
      <c r="B74" s="12"/>
      <c r="C74" s="12"/>
      <c r="D74" s="12"/>
      <c r="E74" s="10"/>
      <c r="F74" s="11"/>
      <c r="G74" s="139"/>
      <c r="H74" s="11"/>
      <c r="I74" s="5"/>
      <c r="J74" s="10"/>
    </row>
    <row r="75" spans="1:10" ht="21" customHeight="1" x14ac:dyDescent="0.25">
      <c r="A75" s="11"/>
      <c r="B75" s="12"/>
      <c r="C75" s="12"/>
      <c r="D75" s="12"/>
      <c r="E75" s="10"/>
      <c r="F75" s="11"/>
      <c r="G75" s="139"/>
      <c r="H75" s="11"/>
      <c r="I75" s="5"/>
      <c r="J75" s="10"/>
    </row>
    <row r="76" spans="1:10" ht="21" customHeight="1" x14ac:dyDescent="0.25">
      <c r="A76" s="11"/>
      <c r="B76" s="12"/>
      <c r="C76" s="12"/>
      <c r="D76" s="12"/>
      <c r="E76" s="10"/>
      <c r="F76" s="11"/>
      <c r="G76" s="139"/>
      <c r="H76" s="11"/>
      <c r="I76" s="5"/>
      <c r="J76" s="10"/>
    </row>
    <row r="77" spans="1:10" ht="21" customHeight="1" x14ac:dyDescent="0.25">
      <c r="A77" s="11"/>
      <c r="B77" s="12"/>
      <c r="C77" s="12"/>
      <c r="D77" s="12"/>
      <c r="E77" s="10"/>
      <c r="F77" s="11"/>
      <c r="G77" s="139"/>
      <c r="H77" s="11"/>
      <c r="I77" s="5"/>
      <c r="J77" s="10"/>
    </row>
    <row r="78" spans="1:10" ht="21" customHeight="1" x14ac:dyDescent="0.25">
      <c r="A78" s="11"/>
      <c r="B78" s="12"/>
      <c r="C78" s="12"/>
      <c r="D78" s="12"/>
      <c r="E78" s="10"/>
      <c r="F78" s="11"/>
      <c r="G78" s="139"/>
      <c r="H78" s="11"/>
      <c r="I78" s="5"/>
      <c r="J78" s="10"/>
    </row>
    <row r="79" spans="1:10" ht="21" customHeight="1" x14ac:dyDescent="0.25">
      <c r="A79" s="11"/>
      <c r="B79" s="12"/>
      <c r="C79" s="12"/>
      <c r="D79" s="12"/>
      <c r="E79" s="10"/>
      <c r="F79" s="11"/>
      <c r="G79" s="139"/>
      <c r="H79" s="11"/>
      <c r="I79" s="5"/>
      <c r="J79" s="10"/>
    </row>
    <row r="80" spans="1:10" ht="21" customHeight="1" x14ac:dyDescent="0.25">
      <c r="A80" s="11"/>
      <c r="B80" s="12"/>
      <c r="C80" s="12"/>
      <c r="D80" s="12"/>
      <c r="E80" s="10"/>
      <c r="F80" s="11"/>
      <c r="G80" s="139"/>
      <c r="H80" s="11"/>
      <c r="I80" s="5"/>
      <c r="J80" s="10"/>
    </row>
    <row r="81" spans="1:10" ht="21" customHeight="1" x14ac:dyDescent="0.25">
      <c r="A81" s="11"/>
      <c r="B81" s="12"/>
      <c r="C81" s="12"/>
      <c r="D81" s="12"/>
      <c r="E81" s="10"/>
      <c r="F81" s="11"/>
      <c r="G81" s="139"/>
      <c r="H81" s="11"/>
      <c r="I81" s="5"/>
      <c r="J81" s="10"/>
    </row>
    <row r="82" spans="1:10" ht="21" customHeight="1" x14ac:dyDescent="0.25">
      <c r="A82" s="11"/>
      <c r="B82" s="12"/>
      <c r="C82" s="12"/>
      <c r="D82" s="12"/>
      <c r="E82" s="10"/>
      <c r="F82" s="11"/>
      <c r="G82" s="139"/>
      <c r="H82" s="11"/>
      <c r="I82" s="5"/>
      <c r="J82" s="10"/>
    </row>
    <row r="83" spans="1:10" ht="21" customHeight="1" x14ac:dyDescent="0.25">
      <c r="A83" s="11"/>
      <c r="B83" s="12"/>
      <c r="C83" s="12"/>
      <c r="D83" s="12"/>
      <c r="E83" s="10"/>
      <c r="F83" s="11"/>
      <c r="G83" s="139"/>
      <c r="H83" s="11"/>
      <c r="I83" s="5"/>
      <c r="J83" s="10"/>
    </row>
    <row r="84" spans="1:10" ht="21" customHeight="1" x14ac:dyDescent="0.25">
      <c r="A84" s="11"/>
      <c r="B84" s="12"/>
      <c r="C84" s="12"/>
      <c r="D84" s="12"/>
      <c r="E84" s="10"/>
      <c r="F84" s="11"/>
      <c r="G84" s="139"/>
      <c r="H84" s="11"/>
      <c r="I84" s="5"/>
      <c r="J84" s="10"/>
    </row>
    <row r="85" spans="1:10" ht="21" customHeight="1" x14ac:dyDescent="0.25">
      <c r="A85" s="11"/>
      <c r="B85" s="12"/>
      <c r="C85" s="12"/>
      <c r="D85" s="12"/>
      <c r="E85" s="10"/>
      <c r="F85" s="11"/>
      <c r="G85" s="139"/>
      <c r="H85" s="11"/>
      <c r="I85" s="5"/>
      <c r="J85" s="10"/>
    </row>
    <row r="86" spans="1:10" ht="21" customHeight="1" x14ac:dyDescent="0.25">
      <c r="A86" s="11"/>
      <c r="B86" s="12"/>
      <c r="C86" s="12"/>
      <c r="D86" s="12"/>
      <c r="E86" s="10"/>
      <c r="F86" s="11"/>
      <c r="G86" s="139"/>
      <c r="H86" s="11"/>
      <c r="I86" s="5"/>
      <c r="J86" s="10"/>
    </row>
    <row r="87" spans="1:10" ht="21" customHeight="1" x14ac:dyDescent="0.25">
      <c r="A87" s="11"/>
      <c r="B87" s="12"/>
      <c r="C87" s="12"/>
      <c r="D87" s="12"/>
      <c r="E87" s="10"/>
      <c r="F87" s="11"/>
      <c r="G87" s="139"/>
      <c r="H87" s="11"/>
      <c r="I87" s="5"/>
      <c r="J87" s="10"/>
    </row>
    <row r="88" spans="1:10" ht="21" customHeight="1" x14ac:dyDescent="0.25">
      <c r="A88" s="11"/>
      <c r="B88" s="12"/>
      <c r="C88" s="12"/>
      <c r="D88" s="12"/>
      <c r="E88" s="10"/>
      <c r="F88" s="11"/>
      <c r="G88" s="139"/>
      <c r="H88" s="11"/>
      <c r="I88" s="5"/>
      <c r="J88" s="10"/>
    </row>
    <row r="89" spans="1:10" ht="21" customHeight="1" x14ac:dyDescent="0.25">
      <c r="A89" s="11"/>
      <c r="B89" s="12"/>
      <c r="C89" s="12"/>
      <c r="D89" s="12"/>
      <c r="E89" s="10"/>
      <c r="F89" s="11"/>
      <c r="G89" s="139"/>
      <c r="H89" s="11"/>
      <c r="I89" s="5"/>
      <c r="J89" s="10"/>
    </row>
    <row r="90" spans="1:10" ht="21" customHeight="1" x14ac:dyDescent="0.25">
      <c r="A90" s="11"/>
      <c r="B90" s="12"/>
      <c r="C90" s="12"/>
      <c r="D90" s="12"/>
      <c r="E90" s="10"/>
      <c r="F90" s="11"/>
      <c r="G90" s="139"/>
      <c r="H90" s="11"/>
      <c r="I90" s="5"/>
      <c r="J90" s="10"/>
    </row>
    <row r="91" spans="1:10" ht="21" customHeight="1" x14ac:dyDescent="0.25">
      <c r="A91" s="11"/>
      <c r="B91" s="12"/>
      <c r="C91" s="12"/>
      <c r="D91" s="12"/>
      <c r="E91" s="10"/>
      <c r="F91" s="11"/>
      <c r="G91" s="139"/>
      <c r="H91" s="11"/>
      <c r="I91" s="5"/>
      <c r="J91" s="10"/>
    </row>
    <row r="92" spans="1:10" ht="21" customHeight="1" x14ac:dyDescent="0.25">
      <c r="A92" s="11"/>
      <c r="B92" s="12"/>
      <c r="C92" s="12"/>
      <c r="D92" s="12"/>
      <c r="E92" s="10"/>
      <c r="F92" s="11"/>
      <c r="G92" s="139"/>
      <c r="H92" s="11"/>
      <c r="I92" s="5"/>
      <c r="J92" s="10"/>
    </row>
    <row r="93" spans="1:10" ht="21" customHeight="1" x14ac:dyDescent="0.25">
      <c r="A93" s="11"/>
      <c r="B93" s="12"/>
      <c r="C93" s="12"/>
      <c r="D93" s="12"/>
      <c r="E93" s="10"/>
      <c r="F93" s="11"/>
      <c r="G93" s="139"/>
      <c r="H93" s="11"/>
      <c r="I93" s="5"/>
      <c r="J93" s="10"/>
    </row>
    <row r="94" spans="1:10" ht="21" customHeight="1" x14ac:dyDescent="0.25">
      <c r="A94" s="11"/>
      <c r="B94" s="12"/>
      <c r="C94" s="12"/>
      <c r="D94" s="12"/>
      <c r="E94" s="10"/>
      <c r="F94" s="11"/>
      <c r="G94" s="139"/>
      <c r="H94" s="11"/>
      <c r="I94" s="5"/>
      <c r="J94" s="10"/>
    </row>
    <row r="95" spans="1:10" ht="21" customHeight="1" x14ac:dyDescent="0.25">
      <c r="A95" s="11"/>
      <c r="B95" s="12"/>
      <c r="C95" s="12"/>
      <c r="D95" s="12"/>
      <c r="E95" s="10"/>
      <c r="F95" s="11"/>
      <c r="G95" s="139"/>
      <c r="H95" s="11"/>
      <c r="I95" s="5"/>
      <c r="J95" s="10"/>
    </row>
    <row r="96" spans="1:10" ht="21" customHeight="1" x14ac:dyDescent="0.25">
      <c r="A96" s="11"/>
      <c r="B96" s="12"/>
      <c r="C96" s="12"/>
      <c r="D96" s="12"/>
      <c r="E96" s="10"/>
      <c r="F96" s="11"/>
      <c r="G96" s="139"/>
      <c r="H96" s="11"/>
      <c r="I96" s="5"/>
      <c r="J96" s="10"/>
    </row>
    <row r="97" spans="1:10" ht="21" customHeight="1" x14ac:dyDescent="0.25">
      <c r="A97" s="11"/>
      <c r="B97" s="12"/>
      <c r="C97" s="12"/>
      <c r="D97" s="12"/>
      <c r="E97" s="10"/>
      <c r="F97" s="11"/>
      <c r="G97" s="139"/>
      <c r="H97" s="11"/>
      <c r="I97" s="5"/>
      <c r="J97" s="10"/>
    </row>
  </sheetData>
  <mergeCells count="8">
    <mergeCell ref="A30:I30"/>
    <mergeCell ref="B1:H1"/>
    <mergeCell ref="I1:J1"/>
    <mergeCell ref="B4:B5"/>
    <mergeCell ref="B11:B13"/>
    <mergeCell ref="B17:B23"/>
    <mergeCell ref="B26:B28"/>
    <mergeCell ref="B6:B10"/>
  </mergeCells>
  <printOptions horizontalCentered="1"/>
  <pageMargins left="0.25" right="0.25" top="0.25" bottom="0.25" header="0" footer="0"/>
  <pageSetup paperSize="9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B74C-5C16-4639-8032-2B804A9909D5}">
  <sheetPr>
    <pageSetUpPr fitToPage="1"/>
  </sheetPr>
  <dimension ref="A1:O111"/>
  <sheetViews>
    <sheetView topLeftCell="A22" zoomScale="85" zoomScaleNormal="85" workbookViewId="0">
      <selection activeCell="E28" sqref="E28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18.7109375" style="1" customWidth="1"/>
    <col min="4" max="4" width="10.7109375" style="1" customWidth="1"/>
    <col min="5" max="5" width="58.42578125" style="1" customWidth="1"/>
    <col min="6" max="6" width="9.85546875" style="4" customWidth="1"/>
    <col min="7" max="8" width="12.7109375" style="4" customWidth="1"/>
    <col min="9" max="10" width="12.7109375" style="1" customWidth="1"/>
    <col min="11" max="12" width="12.7109375" style="69" customWidth="1"/>
    <col min="13" max="13" width="16.5703125" style="69" customWidth="1"/>
    <col min="14" max="14" width="12.7109375" style="69" customWidth="1"/>
    <col min="15" max="16384" width="14.42578125" style="1"/>
  </cols>
  <sheetData>
    <row r="1" spans="1:15" ht="21" customHeight="1" x14ac:dyDescent="0.25">
      <c r="A1" s="1" t="s">
        <v>0</v>
      </c>
      <c r="B1" s="176" t="s">
        <v>27</v>
      </c>
      <c r="C1" s="175"/>
      <c r="D1" s="175"/>
      <c r="E1" s="175"/>
      <c r="F1" s="175"/>
      <c r="G1" s="175"/>
      <c r="H1" s="175"/>
      <c r="I1" s="174">
        <f>Summary!D2</f>
        <v>46130</v>
      </c>
      <c r="J1" s="175"/>
    </row>
    <row r="2" spans="1:15" ht="21" customHeight="1" x14ac:dyDescent="0.25">
      <c r="B2" s="2"/>
      <c r="C2" s="2"/>
      <c r="D2" s="2"/>
      <c r="E2" s="3"/>
      <c r="F2" s="16"/>
      <c r="G2" s="16"/>
      <c r="I2" s="5"/>
      <c r="J2" s="19"/>
    </row>
    <row r="3" spans="1:15" ht="42" customHeight="1" x14ac:dyDescent="0.25">
      <c r="A3" s="47" t="s">
        <v>30</v>
      </c>
      <c r="B3" s="47" t="s">
        <v>17</v>
      </c>
      <c r="C3" s="47" t="s">
        <v>18</v>
      </c>
      <c r="D3" s="47" t="s">
        <v>19</v>
      </c>
      <c r="E3" s="7" t="s">
        <v>20</v>
      </c>
      <c r="F3" s="8" t="s">
        <v>56</v>
      </c>
      <c r="G3" s="116" t="s">
        <v>21</v>
      </c>
      <c r="H3" s="6" t="s">
        <v>22</v>
      </c>
      <c r="I3" s="9" t="s">
        <v>23</v>
      </c>
      <c r="J3" s="47" t="s">
        <v>24</v>
      </c>
      <c r="K3" s="144"/>
      <c r="L3" s="4"/>
      <c r="M3" s="161"/>
      <c r="N3" s="144"/>
    </row>
    <row r="4" spans="1:15" ht="21" customHeight="1" x14ac:dyDescent="0.25">
      <c r="A4" s="96">
        <v>1</v>
      </c>
      <c r="B4" s="180" t="s">
        <v>28</v>
      </c>
      <c r="C4" s="60">
        <v>8888626165950</v>
      </c>
      <c r="D4" s="35">
        <v>1970529</v>
      </c>
      <c r="E4" s="62" t="s">
        <v>224</v>
      </c>
      <c r="F4" s="30">
        <v>6</v>
      </c>
      <c r="G4" s="112">
        <v>9.8000000000000007</v>
      </c>
      <c r="H4" s="112">
        <v>9.8000000000000007</v>
      </c>
      <c r="I4" s="29">
        <v>132</v>
      </c>
      <c r="J4" s="93">
        <f>I4*H4</f>
        <v>1293.6000000000001</v>
      </c>
      <c r="M4" s="105"/>
      <c r="O4" s="78"/>
    </row>
    <row r="5" spans="1:15" ht="21" customHeight="1" x14ac:dyDescent="0.25">
      <c r="A5" s="97">
        <v>2</v>
      </c>
      <c r="B5" s="181"/>
      <c r="C5" s="60">
        <v>8888626066509</v>
      </c>
      <c r="D5" s="35">
        <v>1970173</v>
      </c>
      <c r="E5" s="62" t="s">
        <v>139</v>
      </c>
      <c r="F5" s="30">
        <v>1</v>
      </c>
      <c r="G5" s="153">
        <v>12.95</v>
      </c>
      <c r="H5" s="153">
        <v>12.95</v>
      </c>
      <c r="I5" s="29">
        <v>160</v>
      </c>
      <c r="J5" s="14">
        <f t="shared" ref="J5:J39" si="0">I5*H5</f>
        <v>2072</v>
      </c>
      <c r="M5" s="105"/>
      <c r="O5" s="78"/>
    </row>
    <row r="6" spans="1:15" ht="21" customHeight="1" x14ac:dyDescent="0.25">
      <c r="A6" s="96">
        <v>3</v>
      </c>
      <c r="B6" s="181"/>
      <c r="C6" s="60">
        <v>8888626177663</v>
      </c>
      <c r="D6" s="35">
        <v>1970620</v>
      </c>
      <c r="E6" s="62" t="s">
        <v>383</v>
      </c>
      <c r="F6" s="30">
        <v>1</v>
      </c>
      <c r="G6" s="112">
        <v>24.95</v>
      </c>
      <c r="H6" s="112">
        <v>24.95</v>
      </c>
      <c r="I6" s="29">
        <v>30</v>
      </c>
      <c r="J6" s="14">
        <f t="shared" si="0"/>
        <v>748.5</v>
      </c>
      <c r="M6" s="105"/>
      <c r="O6" s="78"/>
    </row>
    <row r="7" spans="1:15" ht="21" customHeight="1" x14ac:dyDescent="0.25">
      <c r="A7" s="96">
        <v>4</v>
      </c>
      <c r="B7" s="181"/>
      <c r="C7" s="60">
        <v>8888626176666</v>
      </c>
      <c r="D7" s="35">
        <v>1970612</v>
      </c>
      <c r="E7" s="62" t="s">
        <v>382</v>
      </c>
      <c r="F7" s="30">
        <v>10</v>
      </c>
      <c r="G7" s="112">
        <v>5.5</v>
      </c>
      <c r="H7" s="112">
        <v>5.5</v>
      </c>
      <c r="I7" s="29">
        <v>40</v>
      </c>
      <c r="J7" s="14">
        <f t="shared" si="0"/>
        <v>220</v>
      </c>
      <c r="M7" s="105"/>
      <c r="O7" s="78"/>
    </row>
    <row r="8" spans="1:15" ht="21" customHeight="1" x14ac:dyDescent="0.25">
      <c r="A8" s="97">
        <v>5</v>
      </c>
      <c r="B8" s="182"/>
      <c r="C8" s="60">
        <v>8888626064680</v>
      </c>
      <c r="D8" s="35">
        <v>1970156</v>
      </c>
      <c r="E8" s="62" t="s">
        <v>44</v>
      </c>
      <c r="F8" s="30">
        <v>4</v>
      </c>
      <c r="G8" s="112">
        <v>8.9499999999999993</v>
      </c>
      <c r="H8" s="112">
        <v>8.9499999999999993</v>
      </c>
      <c r="I8" s="29">
        <v>24</v>
      </c>
      <c r="J8" s="14">
        <f t="shared" si="0"/>
        <v>214.79999999999998</v>
      </c>
      <c r="M8" s="105"/>
      <c r="O8" s="78"/>
    </row>
    <row r="9" spans="1:15" ht="21" customHeight="1" x14ac:dyDescent="0.25">
      <c r="A9" s="96">
        <v>6</v>
      </c>
      <c r="B9" s="185" t="s">
        <v>318</v>
      </c>
      <c r="C9" s="60">
        <v>8888626165936</v>
      </c>
      <c r="D9" s="35">
        <v>1970521</v>
      </c>
      <c r="E9" s="62" t="s">
        <v>330</v>
      </c>
      <c r="F9" s="30">
        <v>4</v>
      </c>
      <c r="G9" s="112">
        <v>5.85</v>
      </c>
      <c r="H9" s="112">
        <v>5.85</v>
      </c>
      <c r="I9" s="29">
        <v>260</v>
      </c>
      <c r="J9" s="14">
        <f t="shared" si="0"/>
        <v>1521</v>
      </c>
      <c r="M9" s="105"/>
      <c r="O9" s="78"/>
    </row>
    <row r="10" spans="1:15" ht="21" customHeight="1" x14ac:dyDescent="0.25">
      <c r="A10" s="96">
        <v>7</v>
      </c>
      <c r="B10" s="192"/>
      <c r="C10" s="117">
        <v>8888626175225</v>
      </c>
      <c r="D10" s="79">
        <v>1970593</v>
      </c>
      <c r="E10" s="62" t="s">
        <v>375</v>
      </c>
      <c r="F10" s="30">
        <v>10</v>
      </c>
      <c r="G10" s="112">
        <v>3.95</v>
      </c>
      <c r="H10" s="112">
        <v>3.95</v>
      </c>
      <c r="I10" s="29">
        <v>100</v>
      </c>
      <c r="J10" s="14">
        <f t="shared" si="0"/>
        <v>395</v>
      </c>
      <c r="M10" s="105"/>
      <c r="O10" s="78"/>
    </row>
    <row r="11" spans="1:15" ht="21" customHeight="1" x14ac:dyDescent="0.25">
      <c r="A11" s="97">
        <v>8</v>
      </c>
      <c r="B11" s="192"/>
      <c r="C11" s="117">
        <v>8888626144399</v>
      </c>
      <c r="D11" s="79">
        <v>1970426</v>
      </c>
      <c r="E11" s="62" t="s">
        <v>376</v>
      </c>
      <c r="F11" s="30">
        <v>6</v>
      </c>
      <c r="G11" s="112">
        <v>9.9499999999999993</v>
      </c>
      <c r="H11" s="112">
        <v>9.9499999999999993</v>
      </c>
      <c r="I11" s="29">
        <v>180</v>
      </c>
      <c r="J11" s="14">
        <f t="shared" si="0"/>
        <v>1790.9999999999998</v>
      </c>
      <c r="M11" s="105"/>
      <c r="O11" s="78"/>
    </row>
    <row r="12" spans="1:15" ht="21" customHeight="1" x14ac:dyDescent="0.25">
      <c r="A12" s="96">
        <v>9</v>
      </c>
      <c r="B12" s="192"/>
      <c r="C12" s="117">
        <v>8888626176659</v>
      </c>
      <c r="D12" s="79">
        <v>1970613</v>
      </c>
      <c r="E12" s="62" t="s">
        <v>384</v>
      </c>
      <c r="F12" s="30">
        <v>10</v>
      </c>
      <c r="G12" s="112">
        <v>6.5</v>
      </c>
      <c r="H12" s="112">
        <v>6.5</v>
      </c>
      <c r="I12" s="29">
        <v>40</v>
      </c>
      <c r="J12" s="14">
        <f t="shared" si="0"/>
        <v>260</v>
      </c>
      <c r="M12" s="105"/>
      <c r="O12" s="78"/>
    </row>
    <row r="13" spans="1:15" ht="21" customHeight="1" x14ac:dyDescent="0.25">
      <c r="A13" s="96">
        <v>10</v>
      </c>
      <c r="B13" s="192"/>
      <c r="C13" s="117">
        <v>8888626177694</v>
      </c>
      <c r="D13" s="79">
        <v>1970622</v>
      </c>
      <c r="E13" s="62" t="s">
        <v>377</v>
      </c>
      <c r="F13" s="30">
        <v>10</v>
      </c>
      <c r="G13" s="112">
        <v>5.95</v>
      </c>
      <c r="H13" s="112">
        <v>5.95</v>
      </c>
      <c r="I13" s="29">
        <v>80</v>
      </c>
      <c r="J13" s="93">
        <f t="shared" si="0"/>
        <v>476</v>
      </c>
      <c r="M13" s="105"/>
      <c r="O13" s="78"/>
    </row>
    <row r="14" spans="1:15" ht="21" customHeight="1" x14ac:dyDescent="0.25">
      <c r="A14" s="97">
        <v>11</v>
      </c>
      <c r="B14" s="192"/>
      <c r="C14" s="117">
        <v>8888626175171</v>
      </c>
      <c r="D14" s="79">
        <v>1909352</v>
      </c>
      <c r="E14" s="62" t="s">
        <v>378</v>
      </c>
      <c r="F14" s="30">
        <v>10</v>
      </c>
      <c r="G14" s="112">
        <v>2</v>
      </c>
      <c r="H14" s="112">
        <v>2</v>
      </c>
      <c r="I14" s="29">
        <v>100</v>
      </c>
      <c r="J14" s="14">
        <f t="shared" si="0"/>
        <v>200</v>
      </c>
      <c r="M14" s="105"/>
      <c r="O14" s="78"/>
    </row>
    <row r="15" spans="1:15" ht="21" customHeight="1" x14ac:dyDescent="0.25">
      <c r="A15" s="96">
        <v>12</v>
      </c>
      <c r="B15" s="192"/>
      <c r="C15" s="117">
        <v>8888626028675</v>
      </c>
      <c r="D15" s="79">
        <v>1970069</v>
      </c>
      <c r="E15" s="62" t="s">
        <v>154</v>
      </c>
      <c r="F15" s="30">
        <v>12</v>
      </c>
      <c r="G15" s="112">
        <v>5.8</v>
      </c>
      <c r="H15" s="112">
        <v>5.8</v>
      </c>
      <c r="I15" s="29">
        <v>120</v>
      </c>
      <c r="J15" s="14">
        <f t="shared" si="0"/>
        <v>696</v>
      </c>
      <c r="M15" s="105"/>
      <c r="O15" s="78"/>
    </row>
    <row r="16" spans="1:15" ht="21" customHeight="1" x14ac:dyDescent="0.25">
      <c r="A16" s="96">
        <v>13</v>
      </c>
      <c r="B16" s="192"/>
      <c r="C16" s="72">
        <v>8888626140667</v>
      </c>
      <c r="D16" s="35">
        <v>1970412</v>
      </c>
      <c r="E16" s="62" t="s">
        <v>85</v>
      </c>
      <c r="F16" s="30">
        <v>24</v>
      </c>
      <c r="G16" s="112">
        <v>1.5</v>
      </c>
      <c r="H16" s="112">
        <v>1.5</v>
      </c>
      <c r="I16" s="29">
        <v>168</v>
      </c>
      <c r="J16" s="14">
        <f t="shared" si="0"/>
        <v>252</v>
      </c>
      <c r="M16" s="105"/>
      <c r="O16" s="78"/>
    </row>
    <row r="17" spans="1:15" ht="21" customHeight="1" x14ac:dyDescent="0.25">
      <c r="A17" s="97">
        <v>14</v>
      </c>
      <c r="B17" s="186"/>
      <c r="C17" s="72">
        <v>8888626165974</v>
      </c>
      <c r="D17" s="35">
        <v>1970530</v>
      </c>
      <c r="E17" s="62" t="s">
        <v>241</v>
      </c>
      <c r="F17" s="30">
        <v>10</v>
      </c>
      <c r="G17" s="112">
        <v>4.95</v>
      </c>
      <c r="H17" s="112">
        <v>4.95</v>
      </c>
      <c r="I17" s="29">
        <v>40</v>
      </c>
      <c r="J17" s="93">
        <f t="shared" si="0"/>
        <v>198</v>
      </c>
      <c r="M17" s="105"/>
      <c r="O17" s="78"/>
    </row>
    <row r="18" spans="1:15" ht="21" customHeight="1" x14ac:dyDescent="0.25">
      <c r="A18" s="96">
        <v>15</v>
      </c>
      <c r="B18" s="206" t="s">
        <v>285</v>
      </c>
      <c r="C18" s="25">
        <v>8888626115658</v>
      </c>
      <c r="D18" s="35">
        <v>1970317</v>
      </c>
      <c r="E18" s="62" t="s">
        <v>53</v>
      </c>
      <c r="F18" s="30">
        <v>12</v>
      </c>
      <c r="G18" s="112">
        <v>2.4500000000000002</v>
      </c>
      <c r="H18" s="112">
        <v>2.4500000000000002</v>
      </c>
      <c r="I18" s="29">
        <v>48</v>
      </c>
      <c r="J18" s="14">
        <f t="shared" si="0"/>
        <v>117.60000000000001</v>
      </c>
      <c r="M18" s="105"/>
      <c r="O18" s="78"/>
    </row>
    <row r="19" spans="1:15" ht="21" customHeight="1" x14ac:dyDescent="0.25">
      <c r="A19" s="96">
        <v>16</v>
      </c>
      <c r="B19" s="206"/>
      <c r="C19" s="25">
        <v>8888626067155</v>
      </c>
      <c r="D19" s="35">
        <v>1970184</v>
      </c>
      <c r="E19" s="62" t="s">
        <v>171</v>
      </c>
      <c r="F19" s="30">
        <v>24</v>
      </c>
      <c r="G19" s="112">
        <v>2.85</v>
      </c>
      <c r="H19" s="112">
        <v>2.85</v>
      </c>
      <c r="I19" s="29">
        <v>48</v>
      </c>
      <c r="J19" s="14">
        <f t="shared" si="0"/>
        <v>136.80000000000001</v>
      </c>
      <c r="M19" s="105"/>
      <c r="O19" s="78"/>
    </row>
    <row r="20" spans="1:15" ht="21" customHeight="1" x14ac:dyDescent="0.25">
      <c r="A20" s="97">
        <v>17</v>
      </c>
      <c r="B20" s="206"/>
      <c r="C20" s="25">
        <v>8888626167893</v>
      </c>
      <c r="D20" s="35">
        <v>864174</v>
      </c>
      <c r="E20" s="62" t="s">
        <v>282</v>
      </c>
      <c r="F20" s="30">
        <v>8</v>
      </c>
      <c r="G20" s="113">
        <v>6.95</v>
      </c>
      <c r="H20" s="113">
        <v>6.95</v>
      </c>
      <c r="I20" s="73">
        <v>16</v>
      </c>
      <c r="J20" s="14">
        <f t="shared" si="0"/>
        <v>111.2</v>
      </c>
      <c r="M20" s="105"/>
      <c r="O20" s="78"/>
    </row>
    <row r="21" spans="1:15" ht="21" customHeight="1" x14ac:dyDescent="0.25">
      <c r="A21" s="96">
        <v>18</v>
      </c>
      <c r="B21" s="206"/>
      <c r="C21" s="49">
        <v>8888626138541</v>
      </c>
      <c r="D21" s="79">
        <v>1970371</v>
      </c>
      <c r="E21" s="104" t="s">
        <v>63</v>
      </c>
      <c r="F21" s="83">
        <v>24</v>
      </c>
      <c r="G21" s="113">
        <v>3</v>
      </c>
      <c r="H21" s="113">
        <v>3</v>
      </c>
      <c r="I21" s="59">
        <v>24</v>
      </c>
      <c r="J21" s="93">
        <f t="shared" si="0"/>
        <v>72</v>
      </c>
      <c r="M21" s="105"/>
      <c r="O21" s="78"/>
    </row>
    <row r="22" spans="1:15" ht="21" customHeight="1" x14ac:dyDescent="0.25">
      <c r="A22" s="96">
        <v>19</v>
      </c>
      <c r="B22" s="193" t="s">
        <v>126</v>
      </c>
      <c r="C22" s="49">
        <v>8888626143828</v>
      </c>
      <c r="D22" s="79">
        <v>513793</v>
      </c>
      <c r="E22" s="62" t="s">
        <v>114</v>
      </c>
      <c r="F22" s="30">
        <v>12</v>
      </c>
      <c r="G22" s="112">
        <v>4.95</v>
      </c>
      <c r="H22" s="112">
        <v>4.95</v>
      </c>
      <c r="I22" s="28">
        <v>24</v>
      </c>
      <c r="J22" s="14">
        <f t="shared" si="0"/>
        <v>118.80000000000001</v>
      </c>
      <c r="M22" s="105"/>
      <c r="O22" s="78"/>
    </row>
    <row r="23" spans="1:15" ht="21" customHeight="1" x14ac:dyDescent="0.25">
      <c r="A23" s="97">
        <v>20</v>
      </c>
      <c r="B23" s="194"/>
      <c r="C23" s="49">
        <v>8888626160191</v>
      </c>
      <c r="D23" s="79">
        <v>1908863</v>
      </c>
      <c r="E23" s="67" t="s">
        <v>266</v>
      </c>
      <c r="F23" s="30">
        <v>12</v>
      </c>
      <c r="G23" s="112">
        <v>3.8</v>
      </c>
      <c r="H23" s="112">
        <v>3.8</v>
      </c>
      <c r="I23" s="28">
        <v>24</v>
      </c>
      <c r="J23" s="14">
        <f t="shared" si="0"/>
        <v>91.199999999999989</v>
      </c>
      <c r="M23" s="105"/>
      <c r="O23" s="78"/>
    </row>
    <row r="24" spans="1:15" ht="21" customHeight="1" x14ac:dyDescent="0.25">
      <c r="A24" s="96">
        <v>21</v>
      </c>
      <c r="B24" s="193" t="s">
        <v>316</v>
      </c>
      <c r="C24" s="49">
        <v>8888626143699</v>
      </c>
      <c r="D24" s="79">
        <v>513696</v>
      </c>
      <c r="E24" s="124" t="s">
        <v>299</v>
      </c>
      <c r="F24" s="30">
        <v>8</v>
      </c>
      <c r="G24" s="112">
        <v>6.95</v>
      </c>
      <c r="H24" s="112">
        <v>6.95</v>
      </c>
      <c r="I24" s="28">
        <v>32</v>
      </c>
      <c r="J24" s="14">
        <f t="shared" si="0"/>
        <v>222.4</v>
      </c>
      <c r="M24" s="105"/>
      <c r="O24" s="78"/>
    </row>
    <row r="25" spans="1:15" ht="21" customHeight="1" x14ac:dyDescent="0.25">
      <c r="A25" s="96">
        <v>22</v>
      </c>
      <c r="B25" s="205"/>
      <c r="C25" s="49">
        <v>8888626142937</v>
      </c>
      <c r="D25" s="79">
        <v>513689</v>
      </c>
      <c r="E25" s="124" t="s">
        <v>267</v>
      </c>
      <c r="F25" s="30">
        <v>24</v>
      </c>
      <c r="G25" s="112">
        <v>2.8</v>
      </c>
      <c r="H25" s="112">
        <v>2.8</v>
      </c>
      <c r="I25" s="28">
        <v>48</v>
      </c>
      <c r="J25" s="93">
        <f t="shared" si="0"/>
        <v>134.39999999999998</v>
      </c>
      <c r="M25" s="105"/>
      <c r="O25" s="78"/>
    </row>
    <row r="26" spans="1:15" ht="21" customHeight="1" x14ac:dyDescent="0.25">
      <c r="A26" s="97">
        <v>23</v>
      </c>
      <c r="B26" s="194"/>
      <c r="C26" s="25">
        <v>8888626150321</v>
      </c>
      <c r="D26" s="35">
        <v>513918</v>
      </c>
      <c r="E26" s="62" t="s">
        <v>151</v>
      </c>
      <c r="F26" s="30">
        <v>12</v>
      </c>
      <c r="G26" s="112">
        <v>2.75</v>
      </c>
      <c r="H26" s="112">
        <v>2.75</v>
      </c>
      <c r="I26" s="29">
        <v>84</v>
      </c>
      <c r="J26" s="14">
        <f t="shared" si="0"/>
        <v>231</v>
      </c>
      <c r="M26" s="105"/>
      <c r="O26" s="78"/>
    </row>
    <row r="27" spans="1:15" ht="21" customHeight="1" x14ac:dyDescent="0.25">
      <c r="A27" s="96">
        <v>24</v>
      </c>
      <c r="B27" s="193" t="s">
        <v>317</v>
      </c>
      <c r="C27" s="25">
        <v>8888626169262</v>
      </c>
      <c r="D27" s="35">
        <v>9822185</v>
      </c>
      <c r="E27" s="62" t="s">
        <v>374</v>
      </c>
      <c r="F27" s="30">
        <v>20</v>
      </c>
      <c r="G27" s="112">
        <v>3</v>
      </c>
      <c r="H27" s="112">
        <v>3</v>
      </c>
      <c r="I27" s="29">
        <v>60</v>
      </c>
      <c r="J27" s="93">
        <f t="shared" si="0"/>
        <v>180</v>
      </c>
      <c r="M27" s="105"/>
      <c r="O27" s="78"/>
    </row>
    <row r="28" spans="1:15" ht="21" customHeight="1" x14ac:dyDescent="0.25">
      <c r="A28" s="96">
        <v>25</v>
      </c>
      <c r="B28" s="205"/>
      <c r="C28" s="25">
        <v>8888626174969</v>
      </c>
      <c r="D28" s="35">
        <v>9822187</v>
      </c>
      <c r="E28" s="62" t="s">
        <v>373</v>
      </c>
      <c r="F28" s="30">
        <v>20</v>
      </c>
      <c r="G28" s="112">
        <v>3</v>
      </c>
      <c r="H28" s="112">
        <v>3</v>
      </c>
      <c r="I28" s="29">
        <v>40</v>
      </c>
      <c r="J28" s="14">
        <f t="shared" si="0"/>
        <v>120</v>
      </c>
      <c r="M28" s="105"/>
      <c r="O28" s="78"/>
    </row>
    <row r="29" spans="1:15" ht="21" customHeight="1" x14ac:dyDescent="0.25">
      <c r="A29" s="97">
        <v>26</v>
      </c>
      <c r="B29" s="191" t="s">
        <v>396</v>
      </c>
      <c r="C29" s="25">
        <v>8888626160221</v>
      </c>
      <c r="D29" s="35">
        <v>954476</v>
      </c>
      <c r="E29" s="62" t="s">
        <v>314</v>
      </c>
      <c r="F29" s="30">
        <v>8</v>
      </c>
      <c r="G29" s="112">
        <v>2</v>
      </c>
      <c r="H29" s="112">
        <v>2</v>
      </c>
      <c r="I29" s="29">
        <v>24</v>
      </c>
      <c r="J29" s="14">
        <f t="shared" si="0"/>
        <v>48</v>
      </c>
      <c r="M29" s="105"/>
      <c r="O29" s="78"/>
    </row>
    <row r="30" spans="1:15" ht="21" customHeight="1" x14ac:dyDescent="0.25">
      <c r="A30" s="96">
        <v>27</v>
      </c>
      <c r="B30" s="191"/>
      <c r="C30" s="25">
        <v>8888626160238</v>
      </c>
      <c r="D30" s="35">
        <v>954475</v>
      </c>
      <c r="E30" s="62" t="s">
        <v>315</v>
      </c>
      <c r="F30" s="30">
        <v>10</v>
      </c>
      <c r="G30" s="112">
        <v>2.5</v>
      </c>
      <c r="H30" s="112">
        <v>2.5</v>
      </c>
      <c r="I30" s="29">
        <v>40</v>
      </c>
      <c r="J30" s="93">
        <f t="shared" si="0"/>
        <v>100</v>
      </c>
      <c r="M30" s="105"/>
      <c r="O30" s="78"/>
    </row>
    <row r="31" spans="1:15" ht="21" customHeight="1" x14ac:dyDescent="0.25">
      <c r="A31" s="96">
        <v>28</v>
      </c>
      <c r="B31" s="202" t="s">
        <v>167</v>
      </c>
      <c r="C31" s="25">
        <v>8888626175195</v>
      </c>
      <c r="D31" s="35">
        <v>864255</v>
      </c>
      <c r="E31" s="62" t="s">
        <v>385</v>
      </c>
      <c r="F31" s="30">
        <v>4</v>
      </c>
      <c r="G31" s="112">
        <v>15</v>
      </c>
      <c r="H31" s="112">
        <v>15</v>
      </c>
      <c r="I31" s="29">
        <v>24</v>
      </c>
      <c r="J31" s="14">
        <f t="shared" si="0"/>
        <v>360</v>
      </c>
      <c r="M31" s="105"/>
      <c r="O31" s="78"/>
    </row>
    <row r="32" spans="1:15" ht="21" customHeight="1" x14ac:dyDescent="0.25">
      <c r="A32" s="97">
        <v>29</v>
      </c>
      <c r="B32" s="203"/>
      <c r="C32" s="25">
        <v>8888626175201</v>
      </c>
      <c r="D32" s="35">
        <v>864256</v>
      </c>
      <c r="E32" s="62" t="s">
        <v>386</v>
      </c>
      <c r="F32" s="30">
        <v>4</v>
      </c>
      <c r="G32" s="112">
        <v>15</v>
      </c>
      <c r="H32" s="112">
        <v>15</v>
      </c>
      <c r="I32" s="29">
        <v>12</v>
      </c>
      <c r="J32" s="14">
        <f t="shared" si="0"/>
        <v>180</v>
      </c>
      <c r="M32" s="105"/>
      <c r="O32" s="78"/>
    </row>
    <row r="33" spans="1:15" ht="21" customHeight="1" x14ac:dyDescent="0.25">
      <c r="A33" s="96">
        <v>30</v>
      </c>
      <c r="B33" s="204"/>
      <c r="C33" s="25">
        <v>8888626175218</v>
      </c>
      <c r="D33" s="35">
        <v>864257</v>
      </c>
      <c r="E33" s="62" t="s">
        <v>387</v>
      </c>
      <c r="F33" s="30">
        <v>4</v>
      </c>
      <c r="G33" s="112">
        <v>15</v>
      </c>
      <c r="H33" s="112">
        <v>15</v>
      </c>
      <c r="I33" s="29">
        <v>16</v>
      </c>
      <c r="J33" s="93">
        <f t="shared" si="0"/>
        <v>240</v>
      </c>
      <c r="M33" s="105"/>
      <c r="O33" s="78"/>
    </row>
    <row r="34" spans="1:15" ht="21" customHeight="1" x14ac:dyDescent="0.25">
      <c r="A34" s="96">
        <v>31</v>
      </c>
      <c r="B34" s="157" t="s">
        <v>156</v>
      </c>
      <c r="C34" s="25">
        <v>8888626140681</v>
      </c>
      <c r="D34" s="35">
        <v>1908189</v>
      </c>
      <c r="E34" s="62" t="s">
        <v>223</v>
      </c>
      <c r="F34" s="30">
        <v>8</v>
      </c>
      <c r="G34" s="112">
        <v>6.3</v>
      </c>
      <c r="H34" s="112">
        <v>6.3</v>
      </c>
      <c r="I34" s="29">
        <v>24</v>
      </c>
      <c r="J34" s="14">
        <f t="shared" si="0"/>
        <v>151.19999999999999</v>
      </c>
      <c r="M34" s="105"/>
      <c r="O34" s="78"/>
    </row>
    <row r="35" spans="1:15" ht="21" customHeight="1" x14ac:dyDescent="0.25">
      <c r="A35" s="97">
        <v>32</v>
      </c>
      <c r="B35" s="180" t="s">
        <v>168</v>
      </c>
      <c r="C35" s="25">
        <v>8888626160160</v>
      </c>
      <c r="D35" s="35">
        <v>1908804</v>
      </c>
      <c r="E35" s="103" t="s">
        <v>379</v>
      </c>
      <c r="F35" s="30">
        <v>6</v>
      </c>
      <c r="G35" s="112">
        <v>9.5</v>
      </c>
      <c r="H35" s="112">
        <v>9.5</v>
      </c>
      <c r="I35" s="29">
        <v>30</v>
      </c>
      <c r="J35" s="14">
        <f t="shared" si="0"/>
        <v>285</v>
      </c>
      <c r="M35" s="105"/>
      <c r="O35" s="78"/>
    </row>
    <row r="36" spans="1:15" ht="21" customHeight="1" x14ac:dyDescent="0.25">
      <c r="A36" s="96">
        <v>33</v>
      </c>
      <c r="B36" s="181"/>
      <c r="C36" s="49">
        <v>8888626160177</v>
      </c>
      <c r="D36" s="35">
        <v>1908803</v>
      </c>
      <c r="E36" s="103" t="s">
        <v>380</v>
      </c>
      <c r="F36" s="30">
        <v>6</v>
      </c>
      <c r="G36" s="112">
        <v>9.5</v>
      </c>
      <c r="H36" s="112">
        <v>9.5</v>
      </c>
      <c r="I36" s="29">
        <v>24</v>
      </c>
      <c r="J36" s="93">
        <f t="shared" si="0"/>
        <v>228</v>
      </c>
      <c r="M36" s="105"/>
      <c r="O36" s="78"/>
    </row>
    <row r="37" spans="1:15" ht="21" customHeight="1" x14ac:dyDescent="0.25">
      <c r="A37" s="96">
        <v>34</v>
      </c>
      <c r="B37" s="181"/>
      <c r="C37" s="49">
        <v>8888626160184</v>
      </c>
      <c r="D37" s="79">
        <v>1908802</v>
      </c>
      <c r="E37" s="1" t="s">
        <v>381</v>
      </c>
      <c r="F37" s="83">
        <v>6</v>
      </c>
      <c r="G37" s="112">
        <v>9.5</v>
      </c>
      <c r="H37" s="112">
        <v>9.5</v>
      </c>
      <c r="I37" s="29">
        <v>30</v>
      </c>
      <c r="J37" s="14">
        <f t="shared" si="0"/>
        <v>285</v>
      </c>
      <c r="M37" s="105"/>
      <c r="O37" s="78"/>
    </row>
    <row r="38" spans="1:15" ht="21" customHeight="1" x14ac:dyDescent="0.25">
      <c r="A38" s="97">
        <v>35</v>
      </c>
      <c r="B38" s="181"/>
      <c r="C38" s="25" t="s">
        <v>45</v>
      </c>
      <c r="D38" s="35">
        <v>1904953</v>
      </c>
      <c r="E38" s="62" t="s">
        <v>115</v>
      </c>
      <c r="F38" s="30">
        <v>12</v>
      </c>
      <c r="G38" s="112">
        <v>5.5</v>
      </c>
      <c r="H38" s="112">
        <v>5.5</v>
      </c>
      <c r="I38" s="28">
        <v>12</v>
      </c>
      <c r="J38" s="14">
        <f t="shared" si="0"/>
        <v>66</v>
      </c>
      <c r="M38" s="105"/>
      <c r="O38" s="78"/>
    </row>
    <row r="39" spans="1:15" ht="21" customHeight="1" x14ac:dyDescent="0.25">
      <c r="A39" s="96">
        <v>36</v>
      </c>
      <c r="B39" s="182"/>
      <c r="C39" s="39" t="s">
        <v>46</v>
      </c>
      <c r="D39" s="37">
        <v>1904952</v>
      </c>
      <c r="E39" s="42" t="s">
        <v>116</v>
      </c>
      <c r="F39" s="38">
        <v>12</v>
      </c>
      <c r="G39" s="112">
        <v>5.5</v>
      </c>
      <c r="H39" s="112">
        <v>5.5</v>
      </c>
      <c r="I39" s="28">
        <v>12</v>
      </c>
      <c r="J39" s="14">
        <f t="shared" si="0"/>
        <v>66</v>
      </c>
      <c r="M39" s="105"/>
      <c r="O39" s="78"/>
    </row>
    <row r="40" spans="1:15" ht="21" customHeight="1" x14ac:dyDescent="0.25">
      <c r="A40" s="171" t="s">
        <v>16</v>
      </c>
      <c r="B40" s="178"/>
      <c r="C40" s="178"/>
      <c r="D40" s="178"/>
      <c r="E40" s="178"/>
      <c r="F40" s="178"/>
      <c r="G40" s="178"/>
      <c r="H40" s="178"/>
      <c r="I40" s="195"/>
      <c r="J40" s="15">
        <f>SUM(J4:J39)</f>
        <v>13882.5</v>
      </c>
    </row>
    <row r="41" spans="1:15" ht="21" customHeight="1" x14ac:dyDescent="0.25">
      <c r="A41" s="11"/>
      <c r="B41" s="12"/>
      <c r="C41" s="12"/>
      <c r="D41" s="12"/>
      <c r="E41" s="10"/>
      <c r="F41" s="11"/>
      <c r="G41" s="11"/>
      <c r="H41" s="11"/>
      <c r="I41" s="5"/>
      <c r="J41" s="20"/>
    </row>
    <row r="42" spans="1:15" ht="21" customHeight="1" x14ac:dyDescent="0.25">
      <c r="A42" s="11"/>
      <c r="B42" s="12"/>
      <c r="C42" s="12"/>
      <c r="D42" s="12"/>
      <c r="E42" s="10"/>
      <c r="F42" s="11"/>
      <c r="G42" s="13"/>
      <c r="H42" s="13"/>
      <c r="I42" s="5"/>
      <c r="J42" s="20"/>
    </row>
    <row r="43" spans="1:15" ht="21" customHeight="1" x14ac:dyDescent="0.25">
      <c r="A43" s="11"/>
      <c r="B43" s="12"/>
      <c r="C43" s="12"/>
      <c r="D43" s="12"/>
      <c r="E43" s="10"/>
      <c r="F43" s="11"/>
      <c r="G43" s="11"/>
      <c r="H43" s="11"/>
      <c r="I43" s="5"/>
      <c r="J43" s="20"/>
    </row>
    <row r="44" spans="1:15" ht="21" customHeight="1" x14ac:dyDescent="0.25">
      <c r="A44" s="11"/>
      <c r="B44" s="12"/>
      <c r="C44" s="12"/>
      <c r="D44" s="12"/>
      <c r="E44" s="10"/>
      <c r="F44" s="11"/>
      <c r="G44" s="11"/>
      <c r="H44" s="11"/>
      <c r="I44" s="5"/>
      <c r="J44" s="20"/>
    </row>
    <row r="45" spans="1:15" ht="21" customHeight="1" x14ac:dyDescent="0.25">
      <c r="A45" s="11"/>
      <c r="B45" s="12"/>
      <c r="C45" s="12"/>
      <c r="D45" s="12"/>
      <c r="E45" s="10"/>
      <c r="F45" s="11"/>
      <c r="G45" s="11"/>
      <c r="H45" s="11"/>
      <c r="I45" s="5"/>
      <c r="J45" s="20"/>
    </row>
    <row r="46" spans="1:15" ht="21" customHeight="1" x14ac:dyDescent="0.25">
      <c r="A46" s="11"/>
      <c r="B46" s="12"/>
      <c r="C46" s="12"/>
      <c r="D46" s="12"/>
      <c r="E46" s="10"/>
      <c r="F46" s="11"/>
      <c r="G46" s="11"/>
      <c r="H46" s="11"/>
      <c r="I46" s="5"/>
      <c r="J46" s="20"/>
    </row>
    <row r="47" spans="1:15" ht="21" customHeight="1" x14ac:dyDescent="0.25">
      <c r="A47" s="11"/>
      <c r="B47" s="12"/>
      <c r="C47" s="12"/>
      <c r="D47" s="12"/>
      <c r="E47" s="10"/>
      <c r="F47" s="11"/>
      <c r="G47" s="11"/>
      <c r="H47" s="11"/>
      <c r="I47" s="5"/>
      <c r="J47" s="20"/>
    </row>
    <row r="48" spans="1:15" ht="21" customHeight="1" x14ac:dyDescent="0.25">
      <c r="A48" s="11"/>
      <c r="B48" s="12"/>
      <c r="C48" s="12"/>
      <c r="D48" s="12"/>
      <c r="E48" s="10"/>
      <c r="F48" s="11"/>
      <c r="G48" s="11"/>
      <c r="H48" s="11"/>
      <c r="I48" s="5"/>
      <c r="J48" s="20"/>
    </row>
    <row r="49" spans="1:10" ht="21" customHeight="1" x14ac:dyDescent="0.25">
      <c r="A49" s="11"/>
      <c r="B49" s="12"/>
      <c r="C49" s="12"/>
      <c r="D49" s="12"/>
      <c r="E49" s="10"/>
      <c r="F49" s="11"/>
      <c r="G49" s="11"/>
      <c r="H49" s="11"/>
      <c r="I49" s="5"/>
      <c r="J49" s="20"/>
    </row>
    <row r="50" spans="1:10" ht="21" customHeight="1" x14ac:dyDescent="0.25">
      <c r="A50" s="11"/>
      <c r="B50" s="12"/>
      <c r="C50" s="12"/>
      <c r="D50" s="12"/>
      <c r="E50" s="10"/>
      <c r="F50" s="11"/>
      <c r="G50" s="11"/>
      <c r="H50" s="11"/>
      <c r="I50" s="5"/>
      <c r="J50" s="20"/>
    </row>
    <row r="51" spans="1:10" ht="21" customHeight="1" x14ac:dyDescent="0.25">
      <c r="A51" s="11"/>
      <c r="B51" s="12"/>
      <c r="C51" s="12"/>
      <c r="D51" s="12"/>
      <c r="E51" s="10"/>
      <c r="F51" s="11"/>
      <c r="G51" s="11"/>
      <c r="H51" s="11"/>
      <c r="I51" s="5"/>
      <c r="J51" s="20"/>
    </row>
    <row r="52" spans="1:10" ht="21" customHeight="1" x14ac:dyDescent="0.25">
      <c r="A52" s="11"/>
      <c r="B52" s="12"/>
      <c r="C52" s="12"/>
      <c r="D52" s="12"/>
      <c r="E52" s="10"/>
      <c r="F52" s="11"/>
      <c r="G52" s="11"/>
      <c r="H52" s="11"/>
      <c r="I52" s="5"/>
      <c r="J52" s="20"/>
    </row>
    <row r="53" spans="1:10" ht="21" customHeight="1" x14ac:dyDescent="0.25">
      <c r="A53" s="11"/>
      <c r="B53" s="12"/>
      <c r="C53" s="12"/>
      <c r="D53" s="12"/>
      <c r="E53" s="10"/>
      <c r="F53" s="11"/>
      <c r="G53" s="11"/>
      <c r="H53" s="11"/>
      <c r="I53" s="5"/>
      <c r="J53" s="20"/>
    </row>
    <row r="54" spans="1:10" ht="21" customHeight="1" x14ac:dyDescent="0.25">
      <c r="A54" s="11"/>
      <c r="B54" s="12"/>
      <c r="C54" s="12"/>
      <c r="D54" s="12"/>
      <c r="E54" s="10"/>
      <c r="F54" s="11"/>
      <c r="G54" s="11"/>
      <c r="H54" s="11"/>
      <c r="I54" s="5"/>
      <c r="J54" s="20"/>
    </row>
    <row r="55" spans="1:10" ht="21" customHeight="1" x14ac:dyDescent="0.25">
      <c r="A55" s="11"/>
      <c r="B55" s="12"/>
      <c r="C55" s="12"/>
      <c r="D55" s="12"/>
      <c r="E55" s="10"/>
      <c r="F55" s="11"/>
      <c r="G55" s="11"/>
      <c r="H55" s="11"/>
      <c r="I55" s="5"/>
      <c r="J55" s="20"/>
    </row>
    <row r="56" spans="1:10" ht="21" customHeight="1" x14ac:dyDescent="0.25">
      <c r="A56" s="11"/>
      <c r="B56" s="12"/>
      <c r="C56" s="12"/>
      <c r="D56" s="12"/>
      <c r="E56" s="10"/>
      <c r="F56" s="11"/>
      <c r="G56" s="11"/>
      <c r="H56" s="11"/>
      <c r="I56" s="5"/>
      <c r="J56" s="20"/>
    </row>
    <row r="57" spans="1:10" ht="21" customHeight="1" x14ac:dyDescent="0.25">
      <c r="A57" s="11"/>
      <c r="B57" s="12"/>
      <c r="C57" s="12"/>
      <c r="D57" s="12"/>
      <c r="E57" s="10"/>
      <c r="F57" s="11"/>
      <c r="G57" s="11"/>
      <c r="H57" s="11"/>
      <c r="I57" s="5"/>
      <c r="J57" s="20"/>
    </row>
    <row r="58" spans="1:10" ht="21" customHeight="1" x14ac:dyDescent="0.25">
      <c r="A58" s="11"/>
      <c r="B58" s="12"/>
      <c r="C58" s="12"/>
      <c r="D58" s="12"/>
      <c r="E58" s="10"/>
      <c r="F58" s="11"/>
      <c r="G58" s="11"/>
      <c r="H58" s="11"/>
      <c r="I58" s="5"/>
      <c r="J58" s="20"/>
    </row>
    <row r="59" spans="1:10" ht="21" customHeight="1" x14ac:dyDescent="0.25">
      <c r="A59" s="11"/>
      <c r="B59" s="12"/>
      <c r="C59" s="12"/>
      <c r="D59" s="12"/>
      <c r="E59" s="10"/>
      <c r="F59" s="11"/>
      <c r="G59" s="11"/>
      <c r="H59" s="11"/>
      <c r="I59" s="5"/>
      <c r="J59" s="20"/>
    </row>
    <row r="60" spans="1:10" ht="21" customHeight="1" x14ac:dyDescent="0.25">
      <c r="A60" s="11"/>
      <c r="B60" s="12"/>
      <c r="C60" s="12"/>
      <c r="D60" s="12"/>
      <c r="E60" s="10"/>
      <c r="F60" s="11"/>
      <c r="G60" s="11"/>
      <c r="H60" s="11"/>
      <c r="I60" s="5"/>
      <c r="J60" s="20"/>
    </row>
    <row r="61" spans="1:10" ht="21" customHeight="1" x14ac:dyDescent="0.25">
      <c r="A61" s="11"/>
      <c r="B61" s="12"/>
      <c r="C61" s="12"/>
      <c r="D61" s="12"/>
      <c r="E61" s="10"/>
      <c r="F61" s="11"/>
      <c r="G61" s="11"/>
      <c r="H61" s="11"/>
      <c r="I61" s="5"/>
      <c r="J61" s="20"/>
    </row>
    <row r="62" spans="1:10" ht="21" customHeight="1" x14ac:dyDescent="0.25">
      <c r="A62" s="11"/>
      <c r="B62" s="12"/>
      <c r="C62" s="12"/>
      <c r="D62" s="12"/>
      <c r="E62" s="10"/>
      <c r="F62" s="11"/>
      <c r="G62" s="11"/>
      <c r="H62" s="11"/>
      <c r="I62" s="5"/>
      <c r="J62" s="20"/>
    </row>
    <row r="63" spans="1:10" ht="21" customHeight="1" x14ac:dyDescent="0.25">
      <c r="A63" s="11"/>
      <c r="B63" s="12"/>
      <c r="C63" s="12"/>
      <c r="D63" s="12"/>
      <c r="E63" s="10"/>
      <c r="F63" s="11"/>
      <c r="G63" s="11"/>
      <c r="H63" s="11"/>
      <c r="I63" s="5"/>
      <c r="J63" s="20"/>
    </row>
    <row r="64" spans="1:10" ht="21" customHeight="1" x14ac:dyDescent="0.25">
      <c r="A64" s="11"/>
      <c r="B64" s="12"/>
      <c r="C64" s="12"/>
      <c r="D64" s="12"/>
      <c r="E64" s="10"/>
      <c r="F64" s="11"/>
      <c r="G64" s="11"/>
      <c r="H64" s="11"/>
      <c r="I64" s="5"/>
      <c r="J64" s="20"/>
    </row>
    <row r="65" spans="1:10" ht="21" customHeight="1" x14ac:dyDescent="0.25">
      <c r="A65" s="11"/>
      <c r="B65" s="12"/>
      <c r="C65" s="12"/>
      <c r="D65" s="12"/>
      <c r="E65" s="10"/>
      <c r="F65" s="11"/>
      <c r="G65" s="11"/>
      <c r="H65" s="11"/>
      <c r="I65" s="5"/>
      <c r="J65" s="20"/>
    </row>
    <row r="66" spans="1:10" ht="21" customHeight="1" x14ac:dyDescent="0.25">
      <c r="A66" s="11"/>
      <c r="B66" s="12"/>
      <c r="C66" s="12"/>
      <c r="D66" s="12"/>
      <c r="E66" s="10"/>
      <c r="F66" s="11"/>
      <c r="G66" s="11"/>
      <c r="H66" s="11"/>
      <c r="I66" s="5"/>
      <c r="J66" s="20"/>
    </row>
    <row r="67" spans="1:10" ht="21" customHeight="1" x14ac:dyDescent="0.25">
      <c r="A67" s="11"/>
      <c r="B67" s="12"/>
      <c r="C67" s="12"/>
      <c r="D67" s="12"/>
      <c r="E67" s="10"/>
      <c r="F67" s="11"/>
      <c r="G67" s="11"/>
      <c r="H67" s="11"/>
      <c r="I67" s="5"/>
      <c r="J67" s="20"/>
    </row>
    <row r="68" spans="1:10" ht="21" customHeight="1" x14ac:dyDescent="0.25">
      <c r="A68" s="11"/>
      <c r="B68" s="12"/>
      <c r="C68" s="12"/>
      <c r="D68" s="12"/>
      <c r="E68" s="10"/>
      <c r="F68" s="11"/>
      <c r="G68" s="11"/>
      <c r="H68" s="11"/>
      <c r="I68" s="5"/>
      <c r="J68" s="20"/>
    </row>
    <row r="69" spans="1:10" ht="21" customHeight="1" x14ac:dyDescent="0.25">
      <c r="A69" s="11"/>
      <c r="B69" s="12"/>
      <c r="C69" s="12"/>
      <c r="D69" s="12"/>
      <c r="E69" s="10"/>
      <c r="F69" s="11"/>
      <c r="G69" s="11"/>
      <c r="H69" s="11"/>
      <c r="I69" s="5"/>
      <c r="J69" s="20"/>
    </row>
    <row r="70" spans="1:10" ht="21" customHeight="1" x14ac:dyDescent="0.25">
      <c r="A70" s="11"/>
      <c r="B70" s="12"/>
      <c r="C70" s="12"/>
      <c r="D70" s="12"/>
      <c r="E70" s="10"/>
      <c r="F70" s="11"/>
      <c r="G70" s="11"/>
      <c r="H70" s="11"/>
      <c r="I70" s="5"/>
      <c r="J70" s="20"/>
    </row>
    <row r="71" spans="1:10" ht="21" customHeight="1" x14ac:dyDescent="0.25">
      <c r="A71" s="11"/>
      <c r="B71" s="12"/>
      <c r="C71" s="12"/>
      <c r="D71" s="12"/>
      <c r="E71" s="10"/>
      <c r="F71" s="11"/>
      <c r="G71" s="11"/>
      <c r="H71" s="11"/>
      <c r="I71" s="5"/>
      <c r="J71" s="20"/>
    </row>
    <row r="72" spans="1:10" ht="21" customHeight="1" x14ac:dyDescent="0.25">
      <c r="A72" s="11"/>
      <c r="B72" s="12"/>
      <c r="C72" s="12"/>
      <c r="D72" s="12"/>
      <c r="E72" s="10"/>
      <c r="F72" s="11"/>
      <c r="G72" s="11"/>
      <c r="H72" s="11"/>
      <c r="I72" s="5"/>
      <c r="J72" s="20"/>
    </row>
    <row r="73" spans="1:10" ht="21" customHeight="1" x14ac:dyDescent="0.25">
      <c r="A73" s="11"/>
      <c r="B73" s="12"/>
      <c r="C73" s="12"/>
      <c r="D73" s="12"/>
      <c r="E73" s="10"/>
      <c r="F73" s="11"/>
      <c r="G73" s="11"/>
      <c r="H73" s="11"/>
      <c r="I73" s="5"/>
      <c r="J73" s="20"/>
    </row>
    <row r="74" spans="1:10" ht="21" customHeight="1" x14ac:dyDescent="0.25">
      <c r="A74" s="11"/>
      <c r="B74" s="12"/>
      <c r="C74" s="12"/>
      <c r="D74" s="12"/>
      <c r="E74" s="10"/>
      <c r="F74" s="11"/>
      <c r="G74" s="11"/>
      <c r="H74" s="11"/>
      <c r="I74" s="5"/>
      <c r="J74" s="20"/>
    </row>
    <row r="75" spans="1:10" ht="21" customHeight="1" x14ac:dyDescent="0.25">
      <c r="A75" s="11"/>
      <c r="B75" s="12"/>
      <c r="C75" s="12"/>
      <c r="D75" s="12"/>
      <c r="E75" s="10"/>
      <c r="F75" s="11"/>
      <c r="G75" s="11"/>
      <c r="H75" s="11"/>
      <c r="I75" s="5"/>
      <c r="J75" s="20"/>
    </row>
    <row r="76" spans="1:10" ht="21" customHeight="1" x14ac:dyDescent="0.25">
      <c r="A76" s="11"/>
      <c r="B76" s="12"/>
      <c r="C76" s="12"/>
      <c r="D76" s="12"/>
      <c r="E76" s="10"/>
      <c r="F76" s="11"/>
      <c r="G76" s="11"/>
      <c r="H76" s="11"/>
      <c r="I76" s="5"/>
      <c r="J76" s="20"/>
    </row>
    <row r="77" spans="1:10" ht="21" customHeight="1" x14ac:dyDescent="0.25">
      <c r="A77" s="11"/>
      <c r="B77" s="12"/>
      <c r="C77" s="12"/>
      <c r="D77" s="12"/>
      <c r="E77" s="10"/>
      <c r="F77" s="11"/>
      <c r="G77" s="11"/>
      <c r="H77" s="11"/>
      <c r="I77" s="5"/>
      <c r="J77" s="20"/>
    </row>
    <row r="78" spans="1:10" ht="21" customHeight="1" x14ac:dyDescent="0.25">
      <c r="A78" s="11"/>
      <c r="B78" s="12"/>
      <c r="C78" s="12"/>
      <c r="D78" s="12"/>
      <c r="E78" s="10"/>
      <c r="F78" s="11"/>
      <c r="G78" s="11"/>
      <c r="H78" s="11"/>
      <c r="I78" s="5"/>
      <c r="J78" s="20"/>
    </row>
    <row r="79" spans="1:10" ht="21" customHeight="1" x14ac:dyDescent="0.25">
      <c r="A79" s="11"/>
      <c r="B79" s="12"/>
      <c r="C79" s="12"/>
      <c r="D79" s="12"/>
      <c r="E79" s="10"/>
      <c r="F79" s="11"/>
      <c r="G79" s="11"/>
      <c r="H79" s="11"/>
      <c r="I79" s="5"/>
      <c r="J79" s="20"/>
    </row>
    <row r="80" spans="1:10" ht="21" customHeight="1" x14ac:dyDescent="0.25">
      <c r="A80" s="11"/>
      <c r="B80" s="12"/>
      <c r="C80" s="12"/>
      <c r="D80" s="12"/>
      <c r="E80" s="10"/>
      <c r="F80" s="11"/>
      <c r="G80" s="11"/>
      <c r="H80" s="11"/>
      <c r="I80" s="5"/>
      <c r="J80" s="20"/>
    </row>
    <row r="81" spans="1:10" ht="21" customHeight="1" x14ac:dyDescent="0.25">
      <c r="A81" s="11"/>
      <c r="B81" s="12"/>
      <c r="C81" s="12"/>
      <c r="D81" s="12"/>
      <c r="E81" s="10"/>
      <c r="F81" s="11"/>
      <c r="G81" s="11"/>
      <c r="H81" s="11"/>
      <c r="I81" s="5"/>
      <c r="J81" s="20"/>
    </row>
    <row r="82" spans="1:10" ht="21" customHeight="1" x14ac:dyDescent="0.25">
      <c r="A82" s="11"/>
      <c r="B82" s="12"/>
      <c r="C82" s="12"/>
      <c r="D82" s="12"/>
      <c r="E82" s="10"/>
      <c r="F82" s="11"/>
      <c r="G82" s="11"/>
      <c r="H82" s="11"/>
      <c r="I82" s="5"/>
      <c r="J82" s="20"/>
    </row>
    <row r="83" spans="1:10" ht="21" customHeight="1" x14ac:dyDescent="0.25">
      <c r="A83" s="11"/>
      <c r="B83" s="12"/>
      <c r="C83" s="12"/>
      <c r="D83" s="12"/>
      <c r="E83" s="10"/>
      <c r="F83" s="11"/>
      <c r="G83" s="11"/>
      <c r="H83" s="11"/>
      <c r="I83" s="5"/>
      <c r="J83" s="20"/>
    </row>
    <row r="84" spans="1:10" ht="21" customHeight="1" x14ac:dyDescent="0.25">
      <c r="A84" s="11"/>
      <c r="B84" s="12"/>
      <c r="C84" s="12"/>
      <c r="D84" s="12"/>
      <c r="E84" s="10"/>
      <c r="F84" s="11"/>
      <c r="G84" s="11"/>
      <c r="H84" s="11"/>
      <c r="I84" s="5"/>
      <c r="J84" s="20"/>
    </row>
    <row r="85" spans="1:10" ht="21" customHeight="1" x14ac:dyDescent="0.25">
      <c r="A85" s="11"/>
      <c r="B85" s="12"/>
      <c r="C85" s="12"/>
      <c r="D85" s="12"/>
      <c r="E85" s="10"/>
      <c r="F85" s="11"/>
      <c r="G85" s="11"/>
      <c r="H85" s="11"/>
      <c r="I85" s="5"/>
      <c r="J85" s="20"/>
    </row>
    <row r="86" spans="1:10" ht="21" customHeight="1" x14ac:dyDescent="0.25">
      <c r="A86" s="11"/>
      <c r="B86" s="12"/>
      <c r="C86" s="12"/>
      <c r="D86" s="12"/>
      <c r="E86" s="10"/>
      <c r="F86" s="11"/>
      <c r="G86" s="11"/>
      <c r="H86" s="11"/>
      <c r="I86" s="5"/>
      <c r="J86" s="20"/>
    </row>
    <row r="87" spans="1:10" ht="21" customHeight="1" x14ac:dyDescent="0.25">
      <c r="A87" s="11"/>
      <c r="B87" s="12"/>
      <c r="C87" s="12"/>
      <c r="D87" s="12"/>
      <c r="E87" s="10"/>
      <c r="F87" s="11"/>
      <c r="G87" s="11"/>
      <c r="H87" s="11"/>
      <c r="I87" s="5"/>
      <c r="J87" s="20"/>
    </row>
    <row r="88" spans="1:10" ht="21" customHeight="1" x14ac:dyDescent="0.25">
      <c r="A88" s="11"/>
      <c r="B88" s="12"/>
      <c r="C88" s="12"/>
      <c r="D88" s="12"/>
      <c r="E88" s="10"/>
      <c r="F88" s="11"/>
      <c r="G88" s="11"/>
      <c r="H88" s="11"/>
      <c r="I88" s="5"/>
      <c r="J88" s="20"/>
    </row>
    <row r="89" spans="1:10" ht="21" customHeight="1" x14ac:dyDescent="0.25">
      <c r="A89" s="11"/>
      <c r="B89" s="12"/>
      <c r="C89" s="12"/>
      <c r="D89" s="12"/>
      <c r="E89" s="10"/>
      <c r="F89" s="11"/>
      <c r="G89" s="11"/>
      <c r="H89" s="11"/>
      <c r="I89" s="5"/>
      <c r="J89" s="20"/>
    </row>
    <row r="90" spans="1:10" ht="21" customHeight="1" x14ac:dyDescent="0.25">
      <c r="A90" s="11"/>
      <c r="B90" s="12"/>
      <c r="C90" s="12"/>
      <c r="D90" s="12"/>
      <c r="E90" s="10"/>
      <c r="F90" s="11"/>
      <c r="G90" s="11"/>
      <c r="H90" s="11"/>
      <c r="I90" s="5"/>
      <c r="J90" s="20"/>
    </row>
    <row r="91" spans="1:10" ht="21" customHeight="1" x14ac:dyDescent="0.25">
      <c r="A91" s="11"/>
      <c r="B91" s="12"/>
      <c r="C91" s="12"/>
      <c r="D91" s="12"/>
      <c r="E91" s="10"/>
      <c r="F91" s="11"/>
      <c r="G91" s="11"/>
      <c r="H91" s="11"/>
      <c r="I91" s="5"/>
      <c r="J91" s="20"/>
    </row>
    <row r="92" spans="1:10" ht="21" customHeight="1" x14ac:dyDescent="0.25">
      <c r="A92" s="11"/>
      <c r="B92" s="12"/>
      <c r="C92" s="12"/>
      <c r="D92" s="12"/>
      <c r="E92" s="10"/>
      <c r="F92" s="11"/>
      <c r="G92" s="11"/>
      <c r="H92" s="11"/>
      <c r="I92" s="5"/>
      <c r="J92" s="20"/>
    </row>
    <row r="93" spans="1:10" ht="21" customHeight="1" x14ac:dyDescent="0.25">
      <c r="A93" s="11"/>
      <c r="B93" s="12"/>
      <c r="C93" s="12"/>
      <c r="D93" s="12"/>
      <c r="E93" s="10"/>
      <c r="F93" s="11"/>
      <c r="G93" s="11"/>
      <c r="H93" s="11"/>
      <c r="I93" s="5"/>
      <c r="J93" s="20"/>
    </row>
    <row r="94" spans="1:10" ht="21" customHeight="1" x14ac:dyDescent="0.25">
      <c r="A94" s="11"/>
      <c r="B94" s="12"/>
      <c r="C94" s="12"/>
      <c r="D94" s="12"/>
      <c r="E94" s="10"/>
      <c r="F94" s="11"/>
      <c r="G94" s="11"/>
      <c r="H94" s="11"/>
      <c r="I94" s="5"/>
      <c r="J94" s="20"/>
    </row>
    <row r="95" spans="1:10" ht="21" customHeight="1" x14ac:dyDescent="0.25">
      <c r="A95" s="11"/>
      <c r="B95" s="12"/>
      <c r="C95" s="12"/>
      <c r="D95" s="12"/>
      <c r="E95" s="10"/>
      <c r="F95" s="11"/>
      <c r="G95" s="11"/>
      <c r="H95" s="11"/>
      <c r="I95" s="5"/>
      <c r="J95" s="20"/>
    </row>
    <row r="96" spans="1:10" ht="21" customHeight="1" x14ac:dyDescent="0.25">
      <c r="A96" s="11"/>
      <c r="B96" s="12"/>
      <c r="C96" s="12"/>
      <c r="D96" s="12"/>
      <c r="E96" s="10"/>
      <c r="F96" s="11"/>
      <c r="G96" s="11"/>
      <c r="H96" s="11"/>
      <c r="I96" s="5"/>
      <c r="J96" s="20"/>
    </row>
    <row r="97" spans="1:10" ht="21" customHeight="1" x14ac:dyDescent="0.25">
      <c r="A97" s="11"/>
      <c r="B97" s="12"/>
      <c r="C97" s="12"/>
      <c r="D97" s="12"/>
      <c r="E97" s="10"/>
      <c r="F97" s="11"/>
      <c r="G97" s="11"/>
      <c r="H97" s="11"/>
      <c r="I97" s="5"/>
      <c r="J97" s="20"/>
    </row>
    <row r="98" spans="1:10" ht="21" customHeight="1" x14ac:dyDescent="0.25">
      <c r="A98" s="11"/>
      <c r="B98" s="12"/>
      <c r="C98" s="12"/>
      <c r="D98" s="12"/>
      <c r="E98" s="10"/>
      <c r="F98" s="11"/>
      <c r="G98" s="11"/>
      <c r="H98" s="11"/>
      <c r="I98" s="5"/>
      <c r="J98" s="20"/>
    </row>
    <row r="99" spans="1:10" ht="21" customHeight="1" x14ac:dyDescent="0.25">
      <c r="A99" s="11"/>
      <c r="B99" s="12"/>
      <c r="C99" s="12"/>
      <c r="D99" s="12"/>
      <c r="E99" s="10"/>
      <c r="F99" s="11"/>
      <c r="G99" s="11"/>
      <c r="H99" s="11"/>
      <c r="I99" s="5"/>
      <c r="J99" s="20"/>
    </row>
    <row r="100" spans="1:10" ht="21" customHeight="1" x14ac:dyDescent="0.25">
      <c r="A100" s="11"/>
      <c r="B100" s="12"/>
      <c r="C100" s="12"/>
      <c r="D100" s="12"/>
      <c r="E100" s="10"/>
      <c r="F100" s="11"/>
      <c r="G100" s="11"/>
      <c r="H100" s="11"/>
      <c r="I100" s="5"/>
      <c r="J100" s="20"/>
    </row>
    <row r="101" spans="1:10" ht="21" customHeight="1" x14ac:dyDescent="0.25">
      <c r="A101" s="11"/>
      <c r="B101" s="12"/>
      <c r="C101" s="12"/>
      <c r="D101" s="12"/>
      <c r="E101" s="10"/>
      <c r="F101" s="11"/>
      <c r="G101" s="11"/>
      <c r="H101" s="11"/>
      <c r="I101" s="5"/>
      <c r="J101" s="20"/>
    </row>
    <row r="102" spans="1:10" ht="21" customHeight="1" x14ac:dyDescent="0.25">
      <c r="A102" s="11"/>
      <c r="B102" s="12"/>
      <c r="C102" s="12"/>
      <c r="D102" s="12"/>
      <c r="E102" s="10"/>
      <c r="F102" s="11"/>
      <c r="G102" s="11"/>
      <c r="H102" s="11"/>
      <c r="I102" s="5"/>
      <c r="J102" s="20"/>
    </row>
    <row r="103" spans="1:10" ht="21" customHeight="1" x14ac:dyDescent="0.25">
      <c r="A103" s="11"/>
      <c r="B103" s="12"/>
      <c r="C103" s="12"/>
      <c r="D103" s="12"/>
      <c r="E103" s="10"/>
      <c r="F103" s="11"/>
      <c r="G103" s="11"/>
      <c r="H103" s="11"/>
      <c r="I103" s="5"/>
      <c r="J103" s="20"/>
    </row>
    <row r="104" spans="1:10" ht="21" customHeight="1" x14ac:dyDescent="0.25">
      <c r="A104" s="11"/>
      <c r="B104" s="12"/>
      <c r="C104" s="12"/>
      <c r="D104" s="12"/>
      <c r="E104" s="10"/>
      <c r="F104" s="11"/>
      <c r="G104" s="11"/>
      <c r="H104" s="11"/>
      <c r="I104" s="5"/>
      <c r="J104" s="20"/>
    </row>
    <row r="105" spans="1:10" ht="21" customHeight="1" x14ac:dyDescent="0.25">
      <c r="A105" s="11"/>
      <c r="B105" s="12"/>
      <c r="C105" s="12"/>
      <c r="D105" s="12"/>
      <c r="E105" s="10"/>
      <c r="F105" s="11"/>
      <c r="G105" s="11"/>
      <c r="H105" s="11"/>
      <c r="I105" s="5"/>
      <c r="J105" s="20"/>
    </row>
    <row r="106" spans="1:10" ht="21" customHeight="1" x14ac:dyDescent="0.25">
      <c r="A106" s="11"/>
      <c r="B106" s="12"/>
      <c r="C106" s="12"/>
      <c r="D106" s="12"/>
      <c r="E106" s="10"/>
      <c r="F106" s="11"/>
      <c r="G106" s="11"/>
      <c r="H106" s="11"/>
      <c r="I106" s="5"/>
      <c r="J106" s="20"/>
    </row>
    <row r="107" spans="1:10" ht="21" customHeight="1" x14ac:dyDescent="0.25">
      <c r="A107" s="11"/>
      <c r="B107" s="12"/>
      <c r="C107" s="12"/>
      <c r="D107" s="12"/>
      <c r="E107" s="10"/>
      <c r="F107" s="11"/>
      <c r="G107" s="11"/>
      <c r="H107" s="11"/>
      <c r="I107" s="5"/>
      <c r="J107" s="20"/>
    </row>
    <row r="108" spans="1:10" ht="21" customHeight="1" x14ac:dyDescent="0.25">
      <c r="A108" s="11"/>
      <c r="B108" s="12"/>
      <c r="C108" s="12"/>
      <c r="D108" s="12"/>
      <c r="E108" s="10"/>
      <c r="F108" s="11"/>
      <c r="G108" s="11"/>
      <c r="H108" s="11"/>
      <c r="I108" s="5"/>
      <c r="J108" s="20"/>
    </row>
    <row r="109" spans="1:10" ht="21" customHeight="1" x14ac:dyDescent="0.25">
      <c r="A109" s="11"/>
      <c r="B109" s="12"/>
      <c r="C109" s="12"/>
      <c r="D109" s="12"/>
      <c r="E109" s="10"/>
      <c r="F109" s="11"/>
      <c r="G109" s="11"/>
      <c r="H109" s="11"/>
      <c r="I109" s="5"/>
      <c r="J109" s="20"/>
    </row>
    <row r="110" spans="1:10" ht="21" customHeight="1" x14ac:dyDescent="0.25">
      <c r="A110" s="11"/>
      <c r="B110" s="12"/>
      <c r="C110" s="12"/>
      <c r="D110" s="12"/>
      <c r="E110" s="10"/>
      <c r="F110" s="11"/>
      <c r="G110" s="11"/>
      <c r="H110" s="11"/>
      <c r="I110" s="5"/>
      <c r="J110" s="20"/>
    </row>
    <row r="111" spans="1:10" ht="21" customHeight="1" x14ac:dyDescent="0.25">
      <c r="A111" s="11"/>
      <c r="B111" s="12"/>
      <c r="C111" s="12"/>
      <c r="D111" s="12"/>
      <c r="E111" s="10"/>
      <c r="F111" s="11"/>
      <c r="G111" s="11"/>
      <c r="H111" s="11"/>
      <c r="I111" s="5"/>
      <c r="J111" s="20"/>
    </row>
  </sheetData>
  <mergeCells count="12">
    <mergeCell ref="B9:B17"/>
    <mergeCell ref="B35:B39"/>
    <mergeCell ref="A40:I40"/>
    <mergeCell ref="B31:B33"/>
    <mergeCell ref="I1:J1"/>
    <mergeCell ref="B1:H1"/>
    <mergeCell ref="B22:B23"/>
    <mergeCell ref="B24:B26"/>
    <mergeCell ref="B4:B8"/>
    <mergeCell ref="B18:B21"/>
    <mergeCell ref="B27:B28"/>
    <mergeCell ref="B29:B30"/>
  </mergeCells>
  <printOptions horizontalCentered="1"/>
  <pageMargins left="0.2" right="0.2" top="0.2" bottom="0.2" header="0" footer="0"/>
  <pageSetup paperSize="9" scale="5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E401-4BB4-433F-BCB2-115DEB0ECC11}">
  <sheetPr>
    <pageSetUpPr fitToPage="1"/>
  </sheetPr>
  <dimension ref="A1:O106"/>
  <sheetViews>
    <sheetView tabSelected="1" topLeftCell="A16" zoomScale="90" zoomScaleNormal="90" workbookViewId="0">
      <selection activeCell="E23" sqref="E23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18.7109375" style="1" customWidth="1"/>
    <col min="4" max="4" width="10.7109375" style="1" customWidth="1"/>
    <col min="5" max="5" width="60.7109375" style="1" customWidth="1"/>
    <col min="6" max="6" width="10" style="4" customWidth="1"/>
    <col min="7" max="10" width="12.7109375" style="1" customWidth="1"/>
    <col min="11" max="11" width="11.28515625" style="69" customWidth="1"/>
    <col min="12" max="12" width="11.5703125" style="69" customWidth="1"/>
    <col min="13" max="13" width="16.7109375" style="69" customWidth="1"/>
    <col min="14" max="14" width="10.42578125" style="1" customWidth="1"/>
    <col min="15" max="16384" width="14.42578125" style="1"/>
  </cols>
  <sheetData>
    <row r="1" spans="1:15" ht="21" customHeight="1" x14ac:dyDescent="0.25">
      <c r="A1" s="1" t="s">
        <v>0</v>
      </c>
      <c r="B1" s="176" t="s">
        <v>14</v>
      </c>
      <c r="C1" s="175"/>
      <c r="D1" s="175"/>
      <c r="E1" s="175"/>
      <c r="F1" s="175"/>
      <c r="G1" s="175"/>
      <c r="H1" s="175"/>
      <c r="I1" s="174">
        <f>Summary!D2</f>
        <v>46130</v>
      </c>
      <c r="J1" s="175"/>
    </row>
    <row r="2" spans="1:15" ht="21" customHeight="1" x14ac:dyDescent="0.25">
      <c r="B2" s="2"/>
      <c r="C2" s="2"/>
      <c r="D2" s="2"/>
      <c r="E2" s="3"/>
      <c r="F2" s="16"/>
      <c r="G2" s="3"/>
      <c r="H2" s="4"/>
      <c r="I2" s="5"/>
      <c r="J2" s="19"/>
    </row>
    <row r="3" spans="1:15" ht="42" customHeight="1" x14ac:dyDescent="0.25">
      <c r="A3" s="43" t="s">
        <v>30</v>
      </c>
      <c r="B3" s="43" t="s">
        <v>17</v>
      </c>
      <c r="C3" s="43" t="s">
        <v>18</v>
      </c>
      <c r="D3" s="43" t="s">
        <v>19</v>
      </c>
      <c r="E3" s="44" t="s">
        <v>20</v>
      </c>
      <c r="F3" s="45" t="s">
        <v>56</v>
      </c>
      <c r="G3" s="45" t="s">
        <v>21</v>
      </c>
      <c r="H3" s="43" t="s">
        <v>22</v>
      </c>
      <c r="I3" s="46" t="s">
        <v>23</v>
      </c>
      <c r="J3" s="41" t="s">
        <v>24</v>
      </c>
      <c r="K3" s="144"/>
      <c r="L3" s="4"/>
      <c r="M3" s="161"/>
      <c r="N3" s="4"/>
    </row>
    <row r="4" spans="1:15" ht="21" customHeight="1" x14ac:dyDescent="0.25">
      <c r="A4" s="30">
        <v>1</v>
      </c>
      <c r="B4" s="35" t="s">
        <v>93</v>
      </c>
      <c r="C4" s="79" t="s">
        <v>48</v>
      </c>
      <c r="D4" s="79">
        <v>513049</v>
      </c>
      <c r="E4" s="40" t="s">
        <v>66</v>
      </c>
      <c r="F4" s="83">
        <v>6</v>
      </c>
      <c r="G4" s="34">
        <v>2.5499999999999998</v>
      </c>
      <c r="H4" s="34">
        <v>2.5499999999999998</v>
      </c>
      <c r="I4" s="73">
        <v>42</v>
      </c>
      <c r="J4" s="84">
        <f>I4*H4</f>
        <v>107.1</v>
      </c>
      <c r="K4" s="154"/>
      <c r="M4" s="105"/>
      <c r="N4" s="69"/>
      <c r="O4" s="78"/>
    </row>
    <row r="5" spans="1:15" ht="21" customHeight="1" x14ac:dyDescent="0.25">
      <c r="A5" s="30">
        <v>2</v>
      </c>
      <c r="B5" s="180" t="s">
        <v>174</v>
      </c>
      <c r="C5" s="25">
        <v>8888626086606</v>
      </c>
      <c r="D5" s="35">
        <v>512966</v>
      </c>
      <c r="E5" s="62" t="s">
        <v>62</v>
      </c>
      <c r="F5" s="30">
        <v>3</v>
      </c>
      <c r="G5" s="27">
        <v>6.99</v>
      </c>
      <c r="H5" s="27">
        <v>6.99</v>
      </c>
      <c r="I5" s="28">
        <v>45</v>
      </c>
      <c r="J5" s="14">
        <f t="shared" ref="J5:J40" si="0">I5*H5</f>
        <v>314.55</v>
      </c>
      <c r="K5" s="154"/>
      <c r="M5" s="105"/>
      <c r="N5" s="69"/>
      <c r="O5" s="78"/>
    </row>
    <row r="6" spans="1:15" ht="21" customHeight="1" x14ac:dyDescent="0.25">
      <c r="A6" s="30">
        <v>3</v>
      </c>
      <c r="B6" s="181"/>
      <c r="C6" s="25">
        <v>8888626093604</v>
      </c>
      <c r="D6" s="35">
        <v>513043</v>
      </c>
      <c r="E6" s="62" t="s">
        <v>144</v>
      </c>
      <c r="F6" s="30">
        <v>15</v>
      </c>
      <c r="G6" s="27">
        <v>2.2000000000000002</v>
      </c>
      <c r="H6" s="27">
        <v>2.2000000000000002</v>
      </c>
      <c r="I6" s="28">
        <v>60</v>
      </c>
      <c r="J6" s="84">
        <f t="shared" si="0"/>
        <v>132</v>
      </c>
      <c r="K6" s="154"/>
      <c r="M6" s="105"/>
      <c r="N6" s="69"/>
      <c r="O6" s="78"/>
    </row>
    <row r="7" spans="1:15" ht="21" customHeight="1" x14ac:dyDescent="0.25">
      <c r="A7" s="30">
        <v>4</v>
      </c>
      <c r="B7" s="181"/>
      <c r="C7" s="25">
        <v>8888626149981</v>
      </c>
      <c r="D7" s="35">
        <v>513899</v>
      </c>
      <c r="E7" s="62" t="s">
        <v>300</v>
      </c>
      <c r="F7" s="30">
        <v>4</v>
      </c>
      <c r="G7" s="27">
        <v>7.95</v>
      </c>
      <c r="H7" s="27">
        <v>7.95</v>
      </c>
      <c r="I7" s="28">
        <v>16</v>
      </c>
      <c r="J7" s="14">
        <f t="shared" si="0"/>
        <v>127.2</v>
      </c>
      <c r="K7" s="154"/>
      <c r="M7" s="105"/>
      <c r="N7" s="69"/>
      <c r="O7" s="78"/>
    </row>
    <row r="8" spans="1:15" ht="21" customHeight="1" x14ac:dyDescent="0.25">
      <c r="A8" s="30">
        <v>5</v>
      </c>
      <c r="B8" s="181"/>
      <c r="C8" s="25">
        <v>8888626149998</v>
      </c>
      <c r="D8" s="35">
        <v>513900</v>
      </c>
      <c r="E8" s="62" t="s">
        <v>303</v>
      </c>
      <c r="F8" s="30">
        <v>4</v>
      </c>
      <c r="G8" s="27">
        <v>7.95</v>
      </c>
      <c r="H8" s="27">
        <v>7.95</v>
      </c>
      <c r="I8" s="28">
        <v>12</v>
      </c>
      <c r="J8" s="14">
        <f t="shared" si="0"/>
        <v>95.4</v>
      </c>
      <c r="K8" s="154"/>
      <c r="M8" s="105"/>
      <c r="N8" s="69"/>
      <c r="O8" s="78"/>
    </row>
    <row r="9" spans="1:15" ht="21" customHeight="1" x14ac:dyDescent="0.25">
      <c r="A9" s="30">
        <v>6</v>
      </c>
      <c r="B9" s="181"/>
      <c r="C9" s="25">
        <v>8888626150017</v>
      </c>
      <c r="D9" s="35">
        <v>513902</v>
      </c>
      <c r="E9" s="62" t="s">
        <v>301</v>
      </c>
      <c r="F9" s="30">
        <v>8</v>
      </c>
      <c r="G9" s="27">
        <v>7.95</v>
      </c>
      <c r="H9" s="27">
        <v>7.95</v>
      </c>
      <c r="I9" s="28">
        <v>16</v>
      </c>
      <c r="J9" s="14">
        <f t="shared" si="0"/>
        <v>127.2</v>
      </c>
      <c r="K9" s="154"/>
      <c r="M9" s="105"/>
      <c r="N9" s="69"/>
      <c r="O9" s="78"/>
    </row>
    <row r="10" spans="1:15" ht="21" customHeight="1" x14ac:dyDescent="0.25">
      <c r="A10" s="30">
        <v>7</v>
      </c>
      <c r="B10" s="181"/>
      <c r="C10" s="25">
        <v>8888626150031</v>
      </c>
      <c r="D10" s="35">
        <v>513904</v>
      </c>
      <c r="E10" s="62" t="s">
        <v>304</v>
      </c>
      <c r="F10" s="30">
        <v>8</v>
      </c>
      <c r="G10" s="27">
        <v>3.3</v>
      </c>
      <c r="H10" s="27">
        <v>3.3</v>
      </c>
      <c r="I10" s="28">
        <v>16</v>
      </c>
      <c r="J10" s="14">
        <f t="shared" si="0"/>
        <v>52.8</v>
      </c>
      <c r="K10" s="154"/>
      <c r="M10" s="105"/>
      <c r="N10" s="69"/>
      <c r="O10" s="78"/>
    </row>
    <row r="11" spans="1:15" ht="21" customHeight="1" x14ac:dyDescent="0.25">
      <c r="A11" s="30">
        <v>8</v>
      </c>
      <c r="B11" s="181"/>
      <c r="C11" s="25">
        <v>8888626168739</v>
      </c>
      <c r="D11" s="35">
        <v>514338</v>
      </c>
      <c r="E11" s="62" t="s">
        <v>283</v>
      </c>
      <c r="F11" s="30">
        <v>8</v>
      </c>
      <c r="G11" s="27">
        <v>14.45</v>
      </c>
      <c r="H11" s="27">
        <v>14.45</v>
      </c>
      <c r="I11" s="28">
        <v>48</v>
      </c>
      <c r="J11" s="14">
        <f t="shared" si="0"/>
        <v>693.59999999999991</v>
      </c>
      <c r="K11" s="154"/>
      <c r="M11" s="105"/>
      <c r="N11" s="69"/>
      <c r="O11" s="78"/>
    </row>
    <row r="12" spans="1:15" ht="21" customHeight="1" x14ac:dyDescent="0.25">
      <c r="A12" s="30">
        <v>9</v>
      </c>
      <c r="B12" s="181"/>
      <c r="C12" s="25">
        <v>8888626167879</v>
      </c>
      <c r="D12" s="35">
        <v>514205</v>
      </c>
      <c r="E12" s="62" t="s">
        <v>388</v>
      </c>
      <c r="F12" s="30">
        <v>8</v>
      </c>
      <c r="G12" s="146">
        <v>8.9499999999999993</v>
      </c>
      <c r="H12" s="146">
        <v>8.9499999999999993</v>
      </c>
      <c r="I12" s="28">
        <v>64</v>
      </c>
      <c r="J12" s="14">
        <f t="shared" si="0"/>
        <v>572.79999999999995</v>
      </c>
      <c r="K12" s="154"/>
      <c r="M12" s="105"/>
      <c r="N12" s="69"/>
      <c r="O12" s="78"/>
    </row>
    <row r="13" spans="1:15" ht="21" customHeight="1" x14ac:dyDescent="0.25">
      <c r="A13" s="30">
        <v>10</v>
      </c>
      <c r="B13" s="181"/>
      <c r="C13" s="25">
        <v>8888626167886</v>
      </c>
      <c r="D13" s="35">
        <v>514206</v>
      </c>
      <c r="E13" s="62" t="s">
        <v>389</v>
      </c>
      <c r="F13" s="30">
        <v>8</v>
      </c>
      <c r="G13" s="146">
        <v>8.9499999999999993</v>
      </c>
      <c r="H13" s="146">
        <v>8.9499999999999993</v>
      </c>
      <c r="I13" s="28">
        <v>80</v>
      </c>
      <c r="J13" s="14">
        <f t="shared" si="0"/>
        <v>716</v>
      </c>
      <c r="K13" s="154"/>
      <c r="M13" s="105"/>
      <c r="N13" s="69"/>
      <c r="O13" s="78"/>
    </row>
    <row r="14" spans="1:15" ht="21" customHeight="1" x14ac:dyDescent="0.25">
      <c r="A14" s="30">
        <v>11</v>
      </c>
      <c r="B14" s="181"/>
      <c r="C14" s="25">
        <v>8888626117720</v>
      </c>
      <c r="D14" s="35">
        <v>513280</v>
      </c>
      <c r="E14" s="62" t="s">
        <v>72</v>
      </c>
      <c r="F14" s="30">
        <v>6</v>
      </c>
      <c r="G14" s="27">
        <v>2.35</v>
      </c>
      <c r="H14" s="27">
        <v>2.35</v>
      </c>
      <c r="I14" s="28">
        <v>18</v>
      </c>
      <c r="J14" s="14">
        <f t="shared" si="0"/>
        <v>42.300000000000004</v>
      </c>
      <c r="K14" s="154"/>
      <c r="M14" s="105"/>
      <c r="N14" s="69"/>
      <c r="O14" s="78"/>
    </row>
    <row r="15" spans="1:15" ht="21" customHeight="1" x14ac:dyDescent="0.25">
      <c r="A15" s="30">
        <v>12</v>
      </c>
      <c r="B15" s="182"/>
      <c r="C15" s="25">
        <v>8888626117737</v>
      </c>
      <c r="D15" s="35">
        <v>513281</v>
      </c>
      <c r="E15" s="62" t="s">
        <v>108</v>
      </c>
      <c r="F15" s="30">
        <v>6</v>
      </c>
      <c r="G15" s="27">
        <v>2.35</v>
      </c>
      <c r="H15" s="27">
        <v>2.35</v>
      </c>
      <c r="I15" s="28">
        <v>12</v>
      </c>
      <c r="J15" s="14">
        <f t="shared" si="0"/>
        <v>28.200000000000003</v>
      </c>
      <c r="K15" s="154"/>
      <c r="M15" s="105"/>
      <c r="N15" s="69"/>
      <c r="O15" s="78"/>
    </row>
    <row r="16" spans="1:15" ht="21" customHeight="1" x14ac:dyDescent="0.25">
      <c r="A16" s="30">
        <v>13</v>
      </c>
      <c r="B16" s="180" t="s">
        <v>178</v>
      </c>
      <c r="C16" s="35" t="s">
        <v>49</v>
      </c>
      <c r="D16" s="35">
        <v>513052</v>
      </c>
      <c r="E16" s="62" t="s">
        <v>84</v>
      </c>
      <c r="F16" s="30">
        <v>4</v>
      </c>
      <c r="G16" s="27">
        <v>4.05</v>
      </c>
      <c r="H16" s="27">
        <v>4.05</v>
      </c>
      <c r="I16" s="28">
        <v>60</v>
      </c>
      <c r="J16" s="14">
        <f t="shared" si="0"/>
        <v>243</v>
      </c>
      <c r="K16" s="154"/>
      <c r="M16" s="105"/>
      <c r="N16" s="69"/>
      <c r="O16" s="78"/>
    </row>
    <row r="17" spans="1:15" ht="21" customHeight="1" x14ac:dyDescent="0.25">
      <c r="A17" s="30">
        <v>14</v>
      </c>
      <c r="B17" s="181"/>
      <c r="C17" s="25">
        <v>8888626110059</v>
      </c>
      <c r="D17" s="35">
        <v>513218</v>
      </c>
      <c r="E17" s="62" t="s">
        <v>390</v>
      </c>
      <c r="F17" s="30">
        <v>6</v>
      </c>
      <c r="G17" s="27">
        <v>4.6500000000000004</v>
      </c>
      <c r="H17" s="27">
        <v>4.6500000000000004</v>
      </c>
      <c r="I17" s="28">
        <v>96</v>
      </c>
      <c r="J17" s="14">
        <f t="shared" si="0"/>
        <v>446.40000000000003</v>
      </c>
      <c r="K17" s="154"/>
      <c r="M17" s="105"/>
      <c r="N17" s="69"/>
      <c r="O17" s="78"/>
    </row>
    <row r="18" spans="1:15" ht="30.6" customHeight="1" x14ac:dyDescent="0.25">
      <c r="A18" s="30">
        <v>15</v>
      </c>
      <c r="B18" s="182"/>
      <c r="C18" s="25" t="s">
        <v>319</v>
      </c>
      <c r="D18" s="35">
        <v>513896</v>
      </c>
      <c r="E18" s="62" t="s">
        <v>320</v>
      </c>
      <c r="F18" s="30">
        <v>6</v>
      </c>
      <c r="G18" s="27">
        <v>5.5</v>
      </c>
      <c r="H18" s="27">
        <v>5.5</v>
      </c>
      <c r="I18" s="28">
        <v>72</v>
      </c>
      <c r="J18" s="14">
        <f t="shared" si="0"/>
        <v>396</v>
      </c>
      <c r="K18" s="154"/>
      <c r="M18" s="105"/>
      <c r="N18" s="69"/>
      <c r="O18" s="78"/>
    </row>
    <row r="19" spans="1:15" ht="21" customHeight="1" x14ac:dyDescent="0.25">
      <c r="A19" s="30">
        <v>16</v>
      </c>
      <c r="B19" s="180" t="s">
        <v>176</v>
      </c>
      <c r="C19" s="25">
        <v>8888626138572</v>
      </c>
      <c r="D19" s="35">
        <v>1970374</v>
      </c>
      <c r="E19" s="62" t="s">
        <v>65</v>
      </c>
      <c r="F19" s="30">
        <v>6</v>
      </c>
      <c r="G19" s="27">
        <v>6.5</v>
      </c>
      <c r="H19" s="27">
        <v>6.5</v>
      </c>
      <c r="I19" s="28">
        <v>18</v>
      </c>
      <c r="J19" s="84">
        <f t="shared" si="0"/>
        <v>117</v>
      </c>
      <c r="K19" s="154"/>
      <c r="M19" s="105"/>
      <c r="N19" s="69"/>
      <c r="O19" s="78"/>
    </row>
    <row r="20" spans="1:15" ht="21" customHeight="1" x14ac:dyDescent="0.25">
      <c r="A20" s="30">
        <v>17</v>
      </c>
      <c r="B20" s="182"/>
      <c r="C20" s="75" t="s">
        <v>189</v>
      </c>
      <c r="D20" s="35">
        <v>954452</v>
      </c>
      <c r="E20" s="1" t="s">
        <v>195</v>
      </c>
      <c r="F20" s="30">
        <v>12</v>
      </c>
      <c r="G20" s="27">
        <v>4</v>
      </c>
      <c r="H20" s="27">
        <v>4</v>
      </c>
      <c r="I20" s="28">
        <v>84</v>
      </c>
      <c r="J20" s="84">
        <f t="shared" si="0"/>
        <v>336</v>
      </c>
      <c r="K20" s="154"/>
      <c r="M20" s="105"/>
      <c r="N20" s="69"/>
      <c r="O20" s="78"/>
    </row>
    <row r="21" spans="1:15" ht="21" customHeight="1" x14ac:dyDescent="0.25">
      <c r="A21" s="30">
        <v>18</v>
      </c>
      <c r="B21" s="123" t="s">
        <v>88</v>
      </c>
      <c r="C21" s="25">
        <v>8888626092591</v>
      </c>
      <c r="D21" s="35">
        <v>513023</v>
      </c>
      <c r="E21" s="62" t="s">
        <v>74</v>
      </c>
      <c r="F21" s="30">
        <v>6</v>
      </c>
      <c r="G21" s="27">
        <v>3.95</v>
      </c>
      <c r="H21" s="27">
        <v>3.95</v>
      </c>
      <c r="I21" s="28">
        <v>6</v>
      </c>
      <c r="J21" s="84">
        <f t="shared" si="0"/>
        <v>23.700000000000003</v>
      </c>
      <c r="K21" s="154"/>
      <c r="M21" s="105"/>
      <c r="N21" s="69"/>
      <c r="O21" s="78"/>
    </row>
    <row r="22" spans="1:15" ht="21" customHeight="1" x14ac:dyDescent="0.25">
      <c r="A22" s="30">
        <v>19</v>
      </c>
      <c r="B22" s="125" t="s">
        <v>177</v>
      </c>
      <c r="C22" s="25">
        <v>8888626143774</v>
      </c>
      <c r="D22" s="35">
        <v>953785</v>
      </c>
      <c r="E22" s="62" t="s">
        <v>99</v>
      </c>
      <c r="F22" s="30">
        <v>18</v>
      </c>
      <c r="G22" s="27">
        <v>2.5</v>
      </c>
      <c r="H22" s="27">
        <v>2.5</v>
      </c>
      <c r="I22" s="35">
        <v>18</v>
      </c>
      <c r="J22" s="84">
        <f t="shared" si="0"/>
        <v>45</v>
      </c>
      <c r="K22" s="154"/>
      <c r="M22" s="105"/>
      <c r="N22" s="69"/>
      <c r="O22" s="78"/>
    </row>
    <row r="23" spans="1:15" ht="21" customHeight="1" x14ac:dyDescent="0.25">
      <c r="A23" s="30">
        <v>20</v>
      </c>
      <c r="B23" s="126" t="s">
        <v>87</v>
      </c>
      <c r="C23" s="25">
        <v>8888626142869</v>
      </c>
      <c r="D23" s="35">
        <v>513674</v>
      </c>
      <c r="E23" s="62" t="s">
        <v>86</v>
      </c>
      <c r="F23" s="30">
        <v>4</v>
      </c>
      <c r="G23" s="27">
        <v>6.6</v>
      </c>
      <c r="H23" s="27">
        <v>6.6</v>
      </c>
      <c r="I23" s="28">
        <v>16</v>
      </c>
      <c r="J23" s="14">
        <f t="shared" si="0"/>
        <v>105.6</v>
      </c>
      <c r="K23" s="154"/>
      <c r="M23" s="105"/>
      <c r="N23" s="69"/>
      <c r="O23" s="78"/>
    </row>
    <row r="24" spans="1:15" ht="21" customHeight="1" x14ac:dyDescent="0.25">
      <c r="A24" s="30">
        <v>21</v>
      </c>
      <c r="B24" s="181" t="s">
        <v>396</v>
      </c>
      <c r="C24" s="25">
        <v>8888626168746</v>
      </c>
      <c r="D24" s="35">
        <v>514341</v>
      </c>
      <c r="E24" s="62" t="s">
        <v>391</v>
      </c>
      <c r="F24" s="30">
        <v>6</v>
      </c>
      <c r="G24" s="27">
        <v>4.3499999999999996</v>
      </c>
      <c r="H24" s="27">
        <v>4.3499999999999996</v>
      </c>
      <c r="I24" s="28">
        <v>12</v>
      </c>
      <c r="J24" s="84">
        <f t="shared" si="0"/>
        <v>52.199999999999996</v>
      </c>
      <c r="K24" s="154"/>
      <c r="M24" s="105"/>
      <c r="N24" s="69"/>
      <c r="O24" s="78"/>
    </row>
    <row r="25" spans="1:15" ht="21" customHeight="1" x14ac:dyDescent="0.25">
      <c r="A25" s="30">
        <v>22</v>
      </c>
      <c r="B25" s="211"/>
      <c r="C25" s="25">
        <v>8888626092522</v>
      </c>
      <c r="D25" s="35">
        <v>513020</v>
      </c>
      <c r="E25" s="62" t="s">
        <v>103</v>
      </c>
      <c r="F25" s="30">
        <v>6</v>
      </c>
      <c r="G25" s="27">
        <v>4.3499999999999996</v>
      </c>
      <c r="H25" s="27">
        <v>4.3499999999999996</v>
      </c>
      <c r="I25" s="28">
        <v>12</v>
      </c>
      <c r="J25" s="14">
        <f t="shared" si="0"/>
        <v>52.199999999999996</v>
      </c>
      <c r="K25" s="154"/>
      <c r="M25" s="105"/>
      <c r="N25" s="69"/>
      <c r="O25" s="78"/>
    </row>
    <row r="26" spans="1:15" ht="21" customHeight="1" x14ac:dyDescent="0.25">
      <c r="A26" s="30">
        <v>23</v>
      </c>
      <c r="B26" s="207" t="s">
        <v>29</v>
      </c>
      <c r="C26" s="25" t="s">
        <v>50</v>
      </c>
      <c r="D26" s="35">
        <v>513048</v>
      </c>
      <c r="E26" s="62" t="s">
        <v>117</v>
      </c>
      <c r="F26" s="30">
        <v>4</v>
      </c>
      <c r="G26" s="27">
        <v>6.4</v>
      </c>
      <c r="H26" s="27">
        <v>6.4</v>
      </c>
      <c r="I26" s="28">
        <v>12</v>
      </c>
      <c r="J26" s="84">
        <f t="shared" si="0"/>
        <v>76.800000000000011</v>
      </c>
      <c r="K26" s="154"/>
      <c r="M26" s="105"/>
      <c r="N26" s="69"/>
      <c r="O26" s="78"/>
    </row>
    <row r="27" spans="1:15" ht="21" customHeight="1" x14ac:dyDescent="0.25">
      <c r="A27" s="30">
        <v>24</v>
      </c>
      <c r="B27" s="208"/>
      <c r="C27" s="25">
        <v>8888626087474</v>
      </c>
      <c r="D27" s="35">
        <v>513001</v>
      </c>
      <c r="E27" s="62" t="s">
        <v>67</v>
      </c>
      <c r="F27" s="30">
        <v>6</v>
      </c>
      <c r="G27" s="27">
        <v>4.3499999999999996</v>
      </c>
      <c r="H27" s="27">
        <v>4.3499999999999996</v>
      </c>
      <c r="I27" s="28">
        <v>18</v>
      </c>
      <c r="J27" s="14">
        <f t="shared" si="0"/>
        <v>78.3</v>
      </c>
      <c r="K27" s="154"/>
      <c r="M27" s="105"/>
      <c r="N27" s="69"/>
      <c r="O27" s="78"/>
    </row>
    <row r="28" spans="1:15" ht="21" customHeight="1" x14ac:dyDescent="0.25">
      <c r="A28" s="30">
        <v>25</v>
      </c>
      <c r="B28" s="209"/>
      <c r="C28" s="35" t="s">
        <v>51</v>
      </c>
      <c r="D28" s="35">
        <v>513051</v>
      </c>
      <c r="E28" s="26" t="s">
        <v>118</v>
      </c>
      <c r="F28" s="30">
        <v>12</v>
      </c>
      <c r="G28" s="27">
        <v>1.25</v>
      </c>
      <c r="H28" s="27">
        <v>1.25</v>
      </c>
      <c r="I28" s="28">
        <v>48</v>
      </c>
      <c r="J28" s="14">
        <f t="shared" si="0"/>
        <v>60</v>
      </c>
      <c r="K28" s="154"/>
      <c r="M28" s="105"/>
      <c r="N28" s="69"/>
      <c r="O28" s="78"/>
    </row>
    <row r="29" spans="1:15" ht="21" customHeight="1" x14ac:dyDescent="0.25">
      <c r="A29" s="30">
        <v>26</v>
      </c>
      <c r="B29" s="30" t="s">
        <v>196</v>
      </c>
      <c r="C29" s="75" t="s">
        <v>325</v>
      </c>
      <c r="D29" s="35">
        <v>513871</v>
      </c>
      <c r="E29" s="26" t="s">
        <v>326</v>
      </c>
      <c r="F29" s="30">
        <v>4</v>
      </c>
      <c r="G29" s="27">
        <v>8.9499999999999993</v>
      </c>
      <c r="H29" s="27">
        <v>8.9499999999999993</v>
      </c>
      <c r="I29" s="28">
        <v>12</v>
      </c>
      <c r="J29" s="14">
        <f t="shared" si="0"/>
        <v>107.39999999999999</v>
      </c>
      <c r="K29" s="154"/>
      <c r="M29" s="105"/>
      <c r="N29" s="69"/>
      <c r="O29" s="78"/>
    </row>
    <row r="30" spans="1:15" ht="21" customHeight="1" x14ac:dyDescent="0.25">
      <c r="A30" s="30">
        <v>27</v>
      </c>
      <c r="B30" s="128" t="s">
        <v>329</v>
      </c>
      <c r="C30" s="75" t="s">
        <v>392</v>
      </c>
      <c r="D30" s="35">
        <v>389431</v>
      </c>
      <c r="E30" s="26" t="s">
        <v>393</v>
      </c>
      <c r="F30" s="30">
        <v>12</v>
      </c>
      <c r="G30" s="27">
        <v>1.25</v>
      </c>
      <c r="H30" s="27">
        <v>1.25</v>
      </c>
      <c r="I30" s="28">
        <v>60</v>
      </c>
      <c r="J30" s="14">
        <f t="shared" si="0"/>
        <v>75</v>
      </c>
      <c r="K30" s="154"/>
      <c r="M30" s="105"/>
      <c r="N30" s="69"/>
      <c r="O30" s="78"/>
    </row>
    <row r="31" spans="1:15" ht="21" customHeight="1" x14ac:dyDescent="0.25">
      <c r="A31" s="30">
        <v>28</v>
      </c>
      <c r="B31" s="30" t="s">
        <v>396</v>
      </c>
      <c r="C31" s="75" t="s">
        <v>323</v>
      </c>
      <c r="D31" s="35">
        <v>513863</v>
      </c>
      <c r="E31" s="26" t="s">
        <v>324</v>
      </c>
      <c r="F31" s="30">
        <v>6</v>
      </c>
      <c r="G31" s="27">
        <v>8.8000000000000007</v>
      </c>
      <c r="H31" s="27">
        <v>8.8000000000000007</v>
      </c>
      <c r="I31" s="28">
        <v>36</v>
      </c>
      <c r="J31" s="14">
        <f t="shared" si="0"/>
        <v>316.8</v>
      </c>
      <c r="K31" s="154"/>
      <c r="M31" s="105"/>
      <c r="N31" s="69"/>
      <c r="O31" s="78"/>
    </row>
    <row r="32" spans="1:15" ht="21" customHeight="1" x14ac:dyDescent="0.25">
      <c r="A32" s="30">
        <v>29</v>
      </c>
      <c r="B32" s="30" t="s">
        <v>302</v>
      </c>
      <c r="C32" s="75" t="s">
        <v>321</v>
      </c>
      <c r="D32" s="35">
        <v>953998</v>
      </c>
      <c r="E32" s="26" t="s">
        <v>322</v>
      </c>
      <c r="F32" s="30">
        <v>6</v>
      </c>
      <c r="G32" s="146">
        <v>9.9499999999999993</v>
      </c>
      <c r="H32" s="146">
        <v>9.9499999999999993</v>
      </c>
      <c r="I32" s="28">
        <v>72</v>
      </c>
      <c r="J32" s="14">
        <f t="shared" si="0"/>
        <v>716.4</v>
      </c>
      <c r="K32" s="154"/>
      <c r="M32" s="105"/>
      <c r="N32" s="69"/>
      <c r="O32" s="78"/>
    </row>
    <row r="33" spans="1:15" ht="21" customHeight="1" x14ac:dyDescent="0.25">
      <c r="A33" s="30">
        <v>30</v>
      </c>
      <c r="B33" s="185" t="s">
        <v>396</v>
      </c>
      <c r="C33" s="75" t="s">
        <v>146</v>
      </c>
      <c r="D33" s="35">
        <v>953966</v>
      </c>
      <c r="E33" s="26" t="s">
        <v>147</v>
      </c>
      <c r="F33" s="30">
        <v>12</v>
      </c>
      <c r="G33" s="81">
        <v>4.5999999999999996</v>
      </c>
      <c r="H33" s="81">
        <v>4.5999999999999996</v>
      </c>
      <c r="I33" s="82">
        <v>24</v>
      </c>
      <c r="J33" s="14">
        <f t="shared" si="0"/>
        <v>110.39999999999999</v>
      </c>
      <c r="K33" s="154"/>
      <c r="M33" s="105"/>
      <c r="N33" s="69"/>
      <c r="O33" s="78"/>
    </row>
    <row r="34" spans="1:15" ht="21" customHeight="1" x14ac:dyDescent="0.25">
      <c r="A34" s="30">
        <v>31</v>
      </c>
      <c r="B34" s="192"/>
      <c r="C34" s="75" t="s">
        <v>148</v>
      </c>
      <c r="D34" s="35">
        <v>953964</v>
      </c>
      <c r="E34" s="26" t="s">
        <v>149</v>
      </c>
      <c r="F34" s="30">
        <v>12</v>
      </c>
      <c r="G34" s="81">
        <v>2.75</v>
      </c>
      <c r="H34" s="81">
        <v>2.75</v>
      </c>
      <c r="I34" s="82">
        <v>48</v>
      </c>
      <c r="J34" s="84">
        <f t="shared" si="0"/>
        <v>132</v>
      </c>
      <c r="K34" s="154"/>
      <c r="M34" s="105"/>
      <c r="N34" s="69"/>
      <c r="O34" s="78"/>
    </row>
    <row r="35" spans="1:15" ht="21" customHeight="1" x14ac:dyDescent="0.25">
      <c r="A35" s="30">
        <v>32</v>
      </c>
      <c r="B35" s="192"/>
      <c r="C35" s="75" t="s">
        <v>327</v>
      </c>
      <c r="D35" s="35">
        <v>954356</v>
      </c>
      <c r="E35" s="26" t="s">
        <v>328</v>
      </c>
      <c r="F35" s="30">
        <v>24</v>
      </c>
      <c r="G35" s="81">
        <v>3.95</v>
      </c>
      <c r="H35" s="81">
        <v>3.95</v>
      </c>
      <c r="I35" s="82">
        <v>24</v>
      </c>
      <c r="J35" s="14">
        <f t="shared" si="0"/>
        <v>94.800000000000011</v>
      </c>
      <c r="K35" s="154"/>
      <c r="M35" s="105"/>
      <c r="N35" s="69"/>
      <c r="O35" s="78"/>
    </row>
    <row r="36" spans="1:15" ht="21" customHeight="1" x14ac:dyDescent="0.25">
      <c r="A36" s="30">
        <v>33</v>
      </c>
      <c r="B36" s="192"/>
      <c r="C36" s="75" t="s">
        <v>394</v>
      </c>
      <c r="D36" s="35">
        <v>953965</v>
      </c>
      <c r="E36" s="26" t="s">
        <v>395</v>
      </c>
      <c r="F36" s="30">
        <v>12</v>
      </c>
      <c r="G36" s="81">
        <v>2.2000000000000002</v>
      </c>
      <c r="H36" s="81">
        <v>2.2000000000000002</v>
      </c>
      <c r="I36" s="82">
        <v>24</v>
      </c>
      <c r="J36" s="84">
        <f t="shared" si="0"/>
        <v>52.800000000000004</v>
      </c>
      <c r="K36" s="154"/>
      <c r="M36" s="105"/>
      <c r="N36" s="69"/>
      <c r="O36" s="78"/>
    </row>
    <row r="37" spans="1:15" ht="21" customHeight="1" x14ac:dyDescent="0.25">
      <c r="A37" s="30">
        <v>34</v>
      </c>
      <c r="B37" s="212"/>
      <c r="C37" s="75" t="s">
        <v>182</v>
      </c>
      <c r="D37" s="35">
        <v>954355</v>
      </c>
      <c r="E37" s="26" t="s">
        <v>183</v>
      </c>
      <c r="F37" s="30">
        <v>24</v>
      </c>
      <c r="G37" s="81">
        <v>2.99</v>
      </c>
      <c r="H37" s="81">
        <v>2.99</v>
      </c>
      <c r="I37" s="82">
        <v>48</v>
      </c>
      <c r="J37" s="14">
        <f t="shared" si="0"/>
        <v>143.52000000000001</v>
      </c>
      <c r="K37" s="154"/>
      <c r="M37" s="105"/>
      <c r="N37" s="69"/>
      <c r="O37" s="78"/>
    </row>
    <row r="38" spans="1:15" ht="21" customHeight="1" x14ac:dyDescent="0.25">
      <c r="A38" s="30">
        <v>35</v>
      </c>
      <c r="B38" s="184" t="s">
        <v>188</v>
      </c>
      <c r="C38" s="75" t="s">
        <v>242</v>
      </c>
      <c r="D38" s="35">
        <v>954357</v>
      </c>
      <c r="E38" s="26" t="s">
        <v>243</v>
      </c>
      <c r="F38" s="30">
        <v>10</v>
      </c>
      <c r="G38" s="27">
        <v>2.9</v>
      </c>
      <c r="H38" s="27">
        <v>2.9</v>
      </c>
      <c r="I38" s="28">
        <v>60</v>
      </c>
      <c r="J38" s="84">
        <f t="shared" si="0"/>
        <v>174</v>
      </c>
      <c r="K38" s="154"/>
      <c r="M38" s="105"/>
      <c r="N38" s="69"/>
      <c r="O38" s="78"/>
    </row>
    <row r="39" spans="1:15" ht="21" customHeight="1" x14ac:dyDescent="0.25">
      <c r="A39" s="30">
        <v>36</v>
      </c>
      <c r="B39" s="181"/>
      <c r="C39" s="75" t="s">
        <v>244</v>
      </c>
      <c r="D39" s="35">
        <v>954358</v>
      </c>
      <c r="E39" s="26" t="s">
        <v>245</v>
      </c>
      <c r="F39" s="30">
        <v>10</v>
      </c>
      <c r="G39" s="27">
        <v>3</v>
      </c>
      <c r="H39" s="27">
        <v>3</v>
      </c>
      <c r="I39" s="28">
        <v>30</v>
      </c>
      <c r="J39" s="84">
        <f t="shared" si="0"/>
        <v>90</v>
      </c>
      <c r="K39" s="154"/>
      <c r="M39" s="105"/>
      <c r="N39" s="69"/>
      <c r="O39" s="78"/>
    </row>
    <row r="40" spans="1:15" ht="21" customHeight="1" x14ac:dyDescent="0.25">
      <c r="A40" s="30">
        <v>37</v>
      </c>
      <c r="B40" s="182"/>
      <c r="C40" s="147">
        <v>8888626160733</v>
      </c>
      <c r="D40" s="54">
        <v>954359</v>
      </c>
      <c r="E40" s="55" t="s">
        <v>181</v>
      </c>
      <c r="F40" s="56">
        <v>24</v>
      </c>
      <c r="G40" s="65">
        <v>2.2999999999999998</v>
      </c>
      <c r="H40" s="65">
        <v>2.2999999999999998</v>
      </c>
      <c r="I40" s="58">
        <v>24</v>
      </c>
      <c r="J40" s="166">
        <f t="shared" si="0"/>
        <v>55.199999999999996</v>
      </c>
      <c r="K40" s="154"/>
      <c r="M40" s="105"/>
      <c r="N40" s="69"/>
      <c r="O40" s="78"/>
    </row>
    <row r="41" spans="1:15" ht="21" customHeight="1" x14ac:dyDescent="0.25">
      <c r="A41" s="210" t="s">
        <v>16</v>
      </c>
      <c r="B41" s="210"/>
      <c r="C41" s="210"/>
      <c r="D41" s="210"/>
      <c r="E41" s="210"/>
      <c r="F41" s="210"/>
      <c r="G41" s="210"/>
      <c r="H41" s="210"/>
      <c r="I41" s="210"/>
      <c r="J41" s="80">
        <f>SUM(J4:J40)</f>
        <v>7109.6699999999992</v>
      </c>
    </row>
    <row r="42" spans="1:15" ht="21" customHeight="1" x14ac:dyDescent="0.25">
      <c r="A42" s="11"/>
      <c r="B42" s="12"/>
      <c r="C42" s="12"/>
      <c r="D42" s="12"/>
      <c r="E42" s="10"/>
      <c r="F42" s="11"/>
      <c r="G42" s="10"/>
      <c r="H42" s="11"/>
      <c r="I42" s="5"/>
      <c r="J42" s="20"/>
    </row>
    <row r="43" spans="1:15" ht="21" customHeight="1" x14ac:dyDescent="0.25">
      <c r="A43" s="11"/>
      <c r="B43" s="12"/>
      <c r="C43" s="12"/>
      <c r="D43" s="12"/>
      <c r="E43" s="10"/>
      <c r="F43" s="11"/>
      <c r="G43" s="77"/>
      <c r="H43" s="77"/>
      <c r="I43" s="5"/>
      <c r="J43" s="20"/>
    </row>
    <row r="44" spans="1:15" ht="21" customHeight="1" x14ac:dyDescent="0.25">
      <c r="A44" s="11"/>
      <c r="B44" s="12"/>
      <c r="C44" s="12"/>
      <c r="D44" s="12"/>
      <c r="E44" s="10"/>
      <c r="F44" s="11"/>
      <c r="G44" s="10"/>
      <c r="H44" s="11"/>
      <c r="I44" s="5"/>
      <c r="J44" s="20"/>
    </row>
    <row r="45" spans="1:15" ht="21" customHeight="1" x14ac:dyDescent="0.25">
      <c r="A45" s="11"/>
      <c r="B45" s="12"/>
      <c r="C45" s="12"/>
      <c r="D45" s="12"/>
      <c r="E45" s="10"/>
      <c r="F45" s="11"/>
      <c r="G45" s="10"/>
      <c r="H45" s="11"/>
      <c r="I45" s="5"/>
      <c r="J45" s="20"/>
    </row>
    <row r="46" spans="1:15" ht="21" customHeight="1" x14ac:dyDescent="0.25">
      <c r="A46" s="11"/>
      <c r="B46" s="12"/>
      <c r="C46" s="12"/>
      <c r="D46" s="12"/>
      <c r="E46" s="10"/>
      <c r="F46" s="11"/>
      <c r="G46" s="10"/>
      <c r="H46" s="11"/>
      <c r="I46" s="5"/>
      <c r="J46" s="20"/>
    </row>
    <row r="47" spans="1:15" ht="21" customHeight="1" x14ac:dyDescent="0.25">
      <c r="A47" s="11"/>
      <c r="B47" s="12"/>
      <c r="C47" s="12"/>
      <c r="D47" s="12"/>
      <c r="E47" s="10"/>
      <c r="F47" s="11"/>
      <c r="G47" s="10"/>
      <c r="H47" s="11"/>
      <c r="I47" s="5"/>
      <c r="J47" s="20"/>
    </row>
    <row r="48" spans="1:15" ht="21" customHeight="1" x14ac:dyDescent="0.25">
      <c r="A48" s="11"/>
      <c r="B48" s="12"/>
      <c r="C48" s="12"/>
      <c r="D48" s="12"/>
      <c r="E48" s="10"/>
      <c r="F48" s="11"/>
      <c r="G48" s="10"/>
      <c r="H48" s="11"/>
      <c r="I48" s="5"/>
      <c r="J48" s="20"/>
    </row>
    <row r="49" spans="1:10" ht="21" customHeight="1" x14ac:dyDescent="0.25">
      <c r="A49" s="11"/>
      <c r="B49" s="12"/>
      <c r="C49" s="12"/>
      <c r="D49" s="12"/>
      <c r="E49" s="10"/>
      <c r="F49" s="11"/>
      <c r="G49" s="10"/>
      <c r="H49" s="11"/>
      <c r="I49" s="5"/>
      <c r="J49" s="20"/>
    </row>
    <row r="50" spans="1:10" ht="21" customHeight="1" x14ac:dyDescent="0.25">
      <c r="A50" s="11"/>
      <c r="B50" s="12"/>
      <c r="C50" s="12"/>
      <c r="D50" s="12"/>
      <c r="E50" s="10"/>
      <c r="F50" s="11"/>
      <c r="G50" s="10"/>
      <c r="H50" s="11"/>
      <c r="I50" s="5"/>
      <c r="J50" s="20"/>
    </row>
    <row r="51" spans="1:10" ht="21" customHeight="1" x14ac:dyDescent="0.25">
      <c r="A51" s="11"/>
      <c r="B51" s="12"/>
      <c r="C51" s="12"/>
      <c r="D51" s="12"/>
      <c r="E51" s="10"/>
      <c r="F51" s="11"/>
      <c r="G51" s="10"/>
      <c r="H51" s="11"/>
      <c r="I51" s="5"/>
      <c r="J51" s="20"/>
    </row>
    <row r="52" spans="1:10" ht="21" customHeight="1" x14ac:dyDescent="0.25">
      <c r="A52" s="11"/>
      <c r="B52" s="12"/>
      <c r="C52" s="12"/>
      <c r="D52" s="12"/>
      <c r="E52" s="10"/>
      <c r="F52" s="11"/>
      <c r="G52" s="10"/>
      <c r="H52" s="11"/>
      <c r="I52" s="5"/>
      <c r="J52" s="20"/>
    </row>
    <row r="53" spans="1:10" ht="21" customHeight="1" x14ac:dyDescent="0.25">
      <c r="A53" s="11"/>
      <c r="B53" s="12"/>
      <c r="C53" s="12"/>
      <c r="D53" s="12"/>
      <c r="E53" s="10"/>
      <c r="F53" s="11"/>
      <c r="G53" s="10"/>
      <c r="H53" s="11"/>
      <c r="I53" s="5"/>
      <c r="J53" s="20"/>
    </row>
    <row r="54" spans="1:10" ht="21" customHeight="1" x14ac:dyDescent="0.25">
      <c r="A54" s="11"/>
      <c r="B54" s="12"/>
      <c r="C54" s="12"/>
      <c r="D54" s="12"/>
      <c r="E54" s="10"/>
      <c r="F54" s="11"/>
      <c r="G54" s="10"/>
      <c r="H54" s="11"/>
      <c r="I54" s="5"/>
      <c r="J54" s="20"/>
    </row>
    <row r="55" spans="1:10" ht="21" customHeight="1" x14ac:dyDescent="0.25">
      <c r="A55" s="11"/>
      <c r="B55" s="12"/>
      <c r="C55" s="12"/>
      <c r="D55" s="12"/>
      <c r="E55" s="10"/>
      <c r="F55" s="11"/>
      <c r="G55" s="10"/>
      <c r="H55" s="11"/>
      <c r="I55" s="5"/>
      <c r="J55" s="20"/>
    </row>
    <row r="56" spans="1:10" ht="21" customHeight="1" x14ac:dyDescent="0.25">
      <c r="A56" s="11"/>
      <c r="B56" s="12"/>
      <c r="C56" s="12"/>
      <c r="D56" s="12"/>
      <c r="E56" s="10"/>
      <c r="F56" s="11"/>
      <c r="G56" s="10"/>
      <c r="H56" s="11"/>
      <c r="I56" s="5"/>
      <c r="J56" s="20"/>
    </row>
    <row r="57" spans="1:10" ht="21" customHeight="1" x14ac:dyDescent="0.25">
      <c r="A57" s="11"/>
      <c r="B57" s="12"/>
      <c r="C57" s="12"/>
      <c r="D57" s="12"/>
      <c r="E57" s="10"/>
      <c r="F57" s="11"/>
      <c r="G57" s="10"/>
      <c r="H57" s="11"/>
      <c r="I57" s="5"/>
      <c r="J57" s="20"/>
    </row>
    <row r="58" spans="1:10" ht="21" customHeight="1" x14ac:dyDescent="0.25">
      <c r="A58" s="11"/>
      <c r="B58" s="12"/>
      <c r="C58" s="12"/>
      <c r="D58" s="12"/>
      <c r="E58" s="10"/>
      <c r="F58" s="11"/>
      <c r="G58" s="10"/>
      <c r="H58" s="11"/>
      <c r="I58" s="5"/>
      <c r="J58" s="20"/>
    </row>
    <row r="59" spans="1:10" ht="21" customHeight="1" x14ac:dyDescent="0.25">
      <c r="A59" s="11"/>
      <c r="B59" s="12"/>
      <c r="C59" s="12"/>
      <c r="D59" s="12"/>
      <c r="E59" s="10"/>
      <c r="F59" s="11"/>
      <c r="G59" s="10"/>
      <c r="H59" s="11"/>
      <c r="I59" s="5"/>
      <c r="J59" s="20"/>
    </row>
    <row r="60" spans="1:10" ht="21" customHeight="1" x14ac:dyDescent="0.25">
      <c r="A60" s="11"/>
      <c r="B60" s="12"/>
      <c r="C60" s="12"/>
      <c r="D60" s="12"/>
      <c r="E60" s="10"/>
      <c r="F60" s="11"/>
      <c r="G60" s="10"/>
      <c r="H60" s="11"/>
      <c r="I60" s="5"/>
      <c r="J60" s="20"/>
    </row>
    <row r="61" spans="1:10" ht="21" customHeight="1" x14ac:dyDescent="0.25">
      <c r="A61" s="11"/>
      <c r="B61" s="12"/>
      <c r="C61" s="12"/>
      <c r="D61" s="12"/>
      <c r="E61" s="10"/>
      <c r="F61" s="11"/>
      <c r="G61" s="10"/>
      <c r="H61" s="11"/>
      <c r="I61" s="5"/>
      <c r="J61" s="20"/>
    </row>
    <row r="62" spans="1:10" ht="21" customHeight="1" x14ac:dyDescent="0.25">
      <c r="A62" s="11"/>
      <c r="B62" s="12"/>
      <c r="C62" s="12"/>
      <c r="D62" s="12"/>
      <c r="E62" s="10"/>
      <c r="F62" s="11"/>
      <c r="G62" s="10"/>
      <c r="H62" s="11"/>
      <c r="I62" s="5"/>
      <c r="J62" s="20"/>
    </row>
    <row r="63" spans="1:10" ht="21" customHeight="1" x14ac:dyDescent="0.25">
      <c r="A63" s="11"/>
      <c r="B63" s="12"/>
      <c r="C63" s="12"/>
      <c r="D63" s="12"/>
      <c r="E63" s="10"/>
      <c r="F63" s="11"/>
      <c r="G63" s="10"/>
      <c r="H63" s="11"/>
      <c r="I63" s="5"/>
      <c r="J63" s="20"/>
    </row>
    <row r="64" spans="1:10" ht="21" customHeight="1" x14ac:dyDescent="0.25">
      <c r="A64" s="11"/>
      <c r="B64" s="12"/>
      <c r="C64" s="12"/>
      <c r="D64" s="12"/>
      <c r="E64" s="10"/>
      <c r="F64" s="11"/>
      <c r="G64" s="10"/>
      <c r="H64" s="11"/>
      <c r="I64" s="5"/>
      <c r="J64" s="20"/>
    </row>
    <row r="65" spans="1:10" ht="21" customHeight="1" x14ac:dyDescent="0.25">
      <c r="A65" s="11"/>
      <c r="B65" s="12"/>
      <c r="C65" s="12"/>
      <c r="D65" s="12"/>
      <c r="E65" s="10"/>
      <c r="F65" s="11"/>
      <c r="G65" s="10"/>
      <c r="H65" s="11"/>
      <c r="I65" s="5"/>
      <c r="J65" s="20"/>
    </row>
    <row r="66" spans="1:10" ht="21" customHeight="1" x14ac:dyDescent="0.25">
      <c r="A66" s="11"/>
      <c r="B66" s="12"/>
      <c r="C66" s="12"/>
      <c r="D66" s="12"/>
      <c r="E66" s="10"/>
      <c r="F66" s="11"/>
      <c r="G66" s="10"/>
      <c r="H66" s="11"/>
      <c r="I66" s="5"/>
      <c r="J66" s="20"/>
    </row>
    <row r="67" spans="1:10" ht="21" customHeight="1" x14ac:dyDescent="0.25">
      <c r="A67" s="11"/>
      <c r="B67" s="12"/>
      <c r="C67" s="12"/>
      <c r="D67" s="12"/>
      <c r="E67" s="10"/>
      <c r="F67" s="11"/>
      <c r="G67" s="10"/>
      <c r="H67" s="11"/>
      <c r="I67" s="5"/>
      <c r="J67" s="20"/>
    </row>
    <row r="68" spans="1:10" ht="21" customHeight="1" x14ac:dyDescent="0.25">
      <c r="A68" s="11"/>
      <c r="B68" s="12"/>
      <c r="C68" s="12"/>
      <c r="D68" s="12"/>
      <c r="E68" s="10"/>
      <c r="F68" s="11"/>
      <c r="G68" s="10"/>
      <c r="H68" s="11"/>
      <c r="I68" s="5"/>
      <c r="J68" s="20"/>
    </row>
    <row r="69" spans="1:10" ht="21" customHeight="1" x14ac:dyDescent="0.25">
      <c r="A69" s="11"/>
      <c r="B69" s="12"/>
      <c r="C69" s="12"/>
      <c r="D69" s="12"/>
      <c r="E69" s="10"/>
      <c r="F69" s="11"/>
      <c r="G69" s="10"/>
      <c r="H69" s="11"/>
      <c r="I69" s="5"/>
      <c r="J69" s="20"/>
    </row>
    <row r="70" spans="1:10" ht="21" customHeight="1" x14ac:dyDescent="0.25">
      <c r="A70" s="11"/>
      <c r="B70" s="12"/>
      <c r="C70" s="12"/>
      <c r="D70" s="12"/>
      <c r="E70" s="10"/>
      <c r="F70" s="11"/>
      <c r="G70" s="10"/>
      <c r="H70" s="11"/>
      <c r="I70" s="5"/>
      <c r="J70" s="20"/>
    </row>
    <row r="71" spans="1:10" ht="21" customHeight="1" x14ac:dyDescent="0.25">
      <c r="A71" s="11"/>
      <c r="B71" s="12"/>
      <c r="C71" s="12"/>
      <c r="D71" s="12"/>
      <c r="E71" s="10"/>
      <c r="F71" s="11"/>
      <c r="G71" s="10"/>
      <c r="H71" s="11"/>
      <c r="I71" s="5"/>
      <c r="J71" s="20"/>
    </row>
    <row r="72" spans="1:10" ht="21" customHeight="1" x14ac:dyDescent="0.25">
      <c r="A72" s="11"/>
      <c r="B72" s="12"/>
      <c r="C72" s="12"/>
      <c r="D72" s="12"/>
      <c r="E72" s="10"/>
      <c r="F72" s="11"/>
      <c r="G72" s="10"/>
      <c r="H72" s="11"/>
      <c r="I72" s="5"/>
      <c r="J72" s="20"/>
    </row>
    <row r="73" spans="1:10" ht="21" customHeight="1" x14ac:dyDescent="0.25">
      <c r="A73" s="11"/>
      <c r="B73" s="12"/>
      <c r="C73" s="12"/>
      <c r="D73" s="12"/>
      <c r="E73" s="10"/>
      <c r="F73" s="11"/>
      <c r="G73" s="10"/>
      <c r="H73" s="11"/>
      <c r="I73" s="5"/>
      <c r="J73" s="20"/>
    </row>
    <row r="74" spans="1:10" ht="21" customHeight="1" x14ac:dyDescent="0.25">
      <c r="A74" s="11"/>
      <c r="B74" s="12"/>
      <c r="C74" s="12"/>
      <c r="D74" s="12"/>
      <c r="E74" s="10"/>
      <c r="F74" s="11"/>
      <c r="G74" s="10"/>
      <c r="H74" s="11"/>
      <c r="I74" s="5"/>
      <c r="J74" s="20"/>
    </row>
    <row r="75" spans="1:10" ht="21" customHeight="1" x14ac:dyDescent="0.25">
      <c r="A75" s="11"/>
      <c r="B75" s="12"/>
      <c r="C75" s="12"/>
      <c r="D75" s="12"/>
      <c r="E75" s="10"/>
      <c r="F75" s="11"/>
      <c r="G75" s="10"/>
      <c r="H75" s="11"/>
      <c r="I75" s="5"/>
      <c r="J75" s="20"/>
    </row>
    <row r="76" spans="1:10" ht="21" customHeight="1" x14ac:dyDescent="0.25">
      <c r="A76" s="11"/>
      <c r="B76" s="12"/>
      <c r="C76" s="12"/>
      <c r="D76" s="12"/>
      <c r="E76" s="10"/>
      <c r="F76" s="11"/>
      <c r="G76" s="10"/>
      <c r="H76" s="11"/>
      <c r="I76" s="5"/>
      <c r="J76" s="20"/>
    </row>
    <row r="77" spans="1:10" ht="21" customHeight="1" x14ac:dyDescent="0.25">
      <c r="A77" s="11"/>
      <c r="B77" s="12"/>
      <c r="C77" s="12"/>
      <c r="D77" s="12"/>
      <c r="E77" s="10"/>
      <c r="F77" s="11"/>
      <c r="G77" s="10"/>
      <c r="H77" s="11"/>
      <c r="I77" s="5"/>
      <c r="J77" s="20"/>
    </row>
    <row r="78" spans="1:10" ht="21" customHeight="1" x14ac:dyDescent="0.25">
      <c r="A78" s="11"/>
      <c r="B78" s="12"/>
      <c r="C78" s="12"/>
      <c r="D78" s="12"/>
      <c r="E78" s="10"/>
      <c r="F78" s="11"/>
      <c r="G78" s="10"/>
      <c r="H78" s="11"/>
      <c r="I78" s="5"/>
      <c r="J78" s="20"/>
    </row>
    <row r="79" spans="1:10" ht="21" customHeight="1" x14ac:dyDescent="0.25">
      <c r="A79" s="11"/>
      <c r="B79" s="12"/>
      <c r="C79" s="12"/>
      <c r="D79" s="12"/>
      <c r="E79" s="10"/>
      <c r="F79" s="11"/>
      <c r="G79" s="10"/>
      <c r="H79" s="11"/>
      <c r="I79" s="5"/>
      <c r="J79" s="20"/>
    </row>
    <row r="80" spans="1:10" ht="21" customHeight="1" x14ac:dyDescent="0.25">
      <c r="A80" s="11"/>
      <c r="B80" s="12"/>
      <c r="C80" s="12"/>
      <c r="D80" s="12"/>
      <c r="E80" s="10"/>
      <c r="F80" s="11"/>
      <c r="G80" s="10"/>
      <c r="H80" s="11"/>
      <c r="I80" s="5"/>
      <c r="J80" s="20"/>
    </row>
    <row r="81" spans="1:10" ht="21" customHeight="1" x14ac:dyDescent="0.25">
      <c r="A81" s="11"/>
      <c r="B81" s="12"/>
      <c r="C81" s="12"/>
      <c r="D81" s="12"/>
      <c r="E81" s="10"/>
      <c r="F81" s="11"/>
      <c r="G81" s="10"/>
      <c r="H81" s="11"/>
      <c r="I81" s="5"/>
      <c r="J81" s="20"/>
    </row>
    <row r="82" spans="1:10" ht="21" customHeight="1" x14ac:dyDescent="0.25">
      <c r="A82" s="11"/>
      <c r="B82" s="12"/>
      <c r="C82" s="12"/>
      <c r="D82" s="12"/>
      <c r="E82" s="10"/>
      <c r="F82" s="11"/>
      <c r="G82" s="10"/>
      <c r="H82" s="11"/>
      <c r="I82" s="5"/>
      <c r="J82" s="20"/>
    </row>
    <row r="83" spans="1:10" ht="21" customHeight="1" x14ac:dyDescent="0.25">
      <c r="A83" s="11"/>
      <c r="B83" s="12"/>
      <c r="C83" s="12"/>
      <c r="D83" s="12"/>
      <c r="E83" s="10"/>
      <c r="F83" s="11"/>
      <c r="G83" s="10"/>
      <c r="H83" s="11"/>
      <c r="I83" s="5"/>
      <c r="J83" s="20"/>
    </row>
    <row r="84" spans="1:10" ht="21" customHeight="1" x14ac:dyDescent="0.25">
      <c r="A84" s="11"/>
      <c r="B84" s="12"/>
      <c r="C84" s="12"/>
      <c r="D84" s="12"/>
      <c r="E84" s="10"/>
      <c r="F84" s="11"/>
      <c r="G84" s="10"/>
      <c r="H84" s="11"/>
      <c r="I84" s="5"/>
      <c r="J84" s="20"/>
    </row>
    <row r="85" spans="1:10" ht="21" customHeight="1" x14ac:dyDescent="0.25">
      <c r="A85" s="11"/>
      <c r="B85" s="12"/>
      <c r="C85" s="12"/>
      <c r="D85" s="12"/>
      <c r="E85" s="10"/>
      <c r="F85" s="11"/>
      <c r="G85" s="10"/>
      <c r="H85" s="11"/>
      <c r="I85" s="5"/>
      <c r="J85" s="20"/>
    </row>
    <row r="86" spans="1:10" ht="21" customHeight="1" x14ac:dyDescent="0.25">
      <c r="A86" s="11"/>
      <c r="B86" s="12"/>
      <c r="C86" s="12"/>
      <c r="D86" s="12"/>
      <c r="E86" s="10"/>
      <c r="F86" s="11"/>
      <c r="G86" s="10"/>
      <c r="H86" s="11"/>
      <c r="I86" s="5"/>
      <c r="J86" s="20"/>
    </row>
    <row r="87" spans="1:10" ht="21" customHeight="1" x14ac:dyDescent="0.25">
      <c r="A87" s="11"/>
      <c r="B87" s="12"/>
      <c r="C87" s="12"/>
      <c r="D87" s="12"/>
      <c r="E87" s="10"/>
      <c r="F87" s="11"/>
      <c r="G87" s="10"/>
      <c r="H87" s="11"/>
      <c r="I87" s="5"/>
      <c r="J87" s="20"/>
    </row>
    <row r="88" spans="1:10" ht="21" customHeight="1" x14ac:dyDescent="0.25">
      <c r="A88" s="11"/>
      <c r="B88" s="12"/>
      <c r="C88" s="12"/>
      <c r="D88" s="12"/>
      <c r="E88" s="10"/>
      <c r="F88" s="11"/>
      <c r="G88" s="10"/>
      <c r="H88" s="11"/>
      <c r="I88" s="5"/>
      <c r="J88" s="20"/>
    </row>
    <row r="89" spans="1:10" ht="21" customHeight="1" x14ac:dyDescent="0.25">
      <c r="A89" s="11"/>
      <c r="B89" s="12"/>
      <c r="C89" s="12"/>
      <c r="D89" s="12"/>
      <c r="E89" s="10"/>
      <c r="F89" s="11"/>
      <c r="G89" s="10"/>
      <c r="H89" s="11"/>
      <c r="I89" s="5"/>
      <c r="J89" s="20"/>
    </row>
    <row r="90" spans="1:10" ht="21" customHeight="1" x14ac:dyDescent="0.25">
      <c r="A90" s="11"/>
      <c r="B90" s="12"/>
      <c r="C90" s="12"/>
      <c r="D90" s="12"/>
      <c r="E90" s="10"/>
      <c r="F90" s="11"/>
      <c r="G90" s="10"/>
      <c r="H90" s="11"/>
      <c r="I90" s="5"/>
      <c r="J90" s="20"/>
    </row>
    <row r="91" spans="1:10" ht="21" customHeight="1" x14ac:dyDescent="0.25">
      <c r="A91" s="11"/>
      <c r="B91" s="12"/>
      <c r="C91" s="12"/>
      <c r="D91" s="12"/>
      <c r="E91" s="10"/>
      <c r="F91" s="11"/>
      <c r="G91" s="10"/>
      <c r="H91" s="11"/>
      <c r="I91" s="5"/>
      <c r="J91" s="20"/>
    </row>
    <row r="92" spans="1:10" ht="21" customHeight="1" x14ac:dyDescent="0.25">
      <c r="A92" s="11"/>
      <c r="B92" s="12"/>
      <c r="C92" s="12"/>
      <c r="D92" s="12"/>
      <c r="E92" s="10"/>
      <c r="F92" s="11"/>
      <c r="G92" s="10"/>
      <c r="H92" s="11"/>
      <c r="I92" s="5"/>
      <c r="J92" s="20"/>
    </row>
    <row r="93" spans="1:10" ht="21" customHeight="1" x14ac:dyDescent="0.25">
      <c r="A93" s="11"/>
      <c r="B93" s="12"/>
      <c r="C93" s="12"/>
      <c r="D93" s="12"/>
      <c r="E93" s="10"/>
      <c r="F93" s="11"/>
      <c r="G93" s="10"/>
      <c r="H93" s="11"/>
      <c r="I93" s="5"/>
      <c r="J93" s="20"/>
    </row>
    <row r="94" spans="1:10" ht="21" customHeight="1" x14ac:dyDescent="0.25">
      <c r="A94" s="11"/>
      <c r="B94" s="12"/>
      <c r="C94" s="12"/>
      <c r="D94" s="12"/>
      <c r="E94" s="10"/>
      <c r="F94" s="11"/>
      <c r="G94" s="10"/>
      <c r="H94" s="11"/>
      <c r="I94" s="5"/>
      <c r="J94" s="20"/>
    </row>
    <row r="95" spans="1:10" ht="21" customHeight="1" x14ac:dyDescent="0.25">
      <c r="A95" s="11"/>
      <c r="B95" s="12"/>
      <c r="C95" s="12"/>
      <c r="D95" s="12"/>
      <c r="E95" s="10"/>
      <c r="F95" s="11"/>
      <c r="G95" s="10"/>
      <c r="H95" s="11"/>
      <c r="I95" s="5"/>
      <c r="J95" s="20"/>
    </row>
    <row r="96" spans="1:10" ht="21" customHeight="1" x14ac:dyDescent="0.25">
      <c r="A96" s="11"/>
      <c r="B96" s="12"/>
      <c r="C96" s="12"/>
      <c r="D96" s="12"/>
      <c r="E96" s="10"/>
      <c r="F96" s="11"/>
      <c r="G96" s="10"/>
      <c r="H96" s="11"/>
      <c r="I96" s="5"/>
      <c r="J96" s="20"/>
    </row>
    <row r="97" spans="1:10" ht="21" customHeight="1" x14ac:dyDescent="0.25">
      <c r="A97" s="11"/>
      <c r="B97" s="12"/>
      <c r="C97" s="12"/>
      <c r="D97" s="12"/>
      <c r="E97" s="10"/>
      <c r="F97" s="11"/>
      <c r="G97" s="10"/>
      <c r="H97" s="11"/>
      <c r="I97" s="5"/>
      <c r="J97" s="20"/>
    </row>
    <row r="98" spans="1:10" ht="21" customHeight="1" x14ac:dyDescent="0.25">
      <c r="A98" s="11"/>
      <c r="B98" s="12"/>
      <c r="C98" s="12"/>
      <c r="D98" s="12"/>
      <c r="E98" s="10"/>
      <c r="F98" s="11"/>
      <c r="G98" s="10"/>
      <c r="H98" s="11"/>
      <c r="I98" s="5"/>
      <c r="J98" s="20"/>
    </row>
    <row r="99" spans="1:10" ht="21" customHeight="1" x14ac:dyDescent="0.25">
      <c r="A99" s="11"/>
      <c r="B99" s="12"/>
      <c r="C99" s="12"/>
      <c r="D99" s="12"/>
      <c r="E99" s="10"/>
      <c r="F99" s="11"/>
      <c r="G99" s="10"/>
      <c r="H99" s="11"/>
      <c r="I99" s="5"/>
      <c r="J99" s="20"/>
    </row>
    <row r="100" spans="1:10" ht="21" customHeight="1" x14ac:dyDescent="0.25">
      <c r="A100" s="11"/>
      <c r="B100" s="12"/>
      <c r="C100" s="12"/>
      <c r="D100" s="12"/>
      <c r="E100" s="10"/>
      <c r="F100" s="11"/>
      <c r="G100" s="10"/>
      <c r="H100" s="11"/>
      <c r="I100" s="5"/>
      <c r="J100" s="20"/>
    </row>
    <row r="101" spans="1:10" ht="21" customHeight="1" x14ac:dyDescent="0.25">
      <c r="A101" s="11"/>
      <c r="B101" s="12"/>
      <c r="C101" s="12"/>
      <c r="D101" s="12"/>
      <c r="E101" s="10"/>
      <c r="F101" s="11"/>
      <c r="G101" s="10"/>
      <c r="H101" s="11"/>
      <c r="I101" s="5"/>
      <c r="J101" s="20"/>
    </row>
    <row r="102" spans="1:10" ht="21" customHeight="1" x14ac:dyDescent="0.25">
      <c r="A102" s="11"/>
      <c r="B102" s="12"/>
      <c r="C102" s="12"/>
      <c r="D102" s="12"/>
      <c r="E102" s="10"/>
      <c r="F102" s="11"/>
      <c r="G102" s="10"/>
      <c r="H102" s="11"/>
      <c r="I102" s="5"/>
      <c r="J102" s="20"/>
    </row>
    <row r="103" spans="1:10" ht="21" customHeight="1" x14ac:dyDescent="0.25">
      <c r="A103" s="11"/>
      <c r="B103" s="12"/>
      <c r="C103" s="12"/>
      <c r="D103" s="12"/>
      <c r="E103" s="10"/>
      <c r="F103" s="11"/>
      <c r="G103" s="10"/>
      <c r="H103" s="11"/>
      <c r="I103" s="5"/>
      <c r="J103" s="20"/>
    </row>
    <row r="104" spans="1:10" ht="21" customHeight="1" x14ac:dyDescent="0.25">
      <c r="A104" s="11"/>
      <c r="B104" s="12"/>
      <c r="C104" s="12"/>
      <c r="D104" s="12"/>
      <c r="E104" s="10"/>
      <c r="F104" s="11"/>
      <c r="G104" s="10"/>
      <c r="H104" s="11"/>
      <c r="I104" s="5"/>
      <c r="J104" s="20"/>
    </row>
    <row r="105" spans="1:10" ht="21" customHeight="1" x14ac:dyDescent="0.25">
      <c r="A105" s="11"/>
      <c r="B105" s="12"/>
      <c r="C105" s="12"/>
      <c r="D105" s="12"/>
      <c r="E105" s="10"/>
      <c r="F105" s="11"/>
      <c r="G105" s="10"/>
      <c r="H105" s="11"/>
      <c r="I105" s="5"/>
      <c r="J105" s="20"/>
    </row>
    <row r="106" spans="1:10" ht="21" customHeight="1" x14ac:dyDescent="0.25">
      <c r="B106" s="12"/>
      <c r="C106" s="12"/>
      <c r="D106" s="12"/>
      <c r="E106" s="10"/>
      <c r="F106" s="11"/>
      <c r="G106" s="10"/>
      <c r="H106" s="11"/>
      <c r="I106" s="5"/>
      <c r="J106" s="20"/>
    </row>
  </sheetData>
  <mergeCells count="10">
    <mergeCell ref="A41:I41"/>
    <mergeCell ref="B24:B25"/>
    <mergeCell ref="B33:B37"/>
    <mergeCell ref="I1:J1"/>
    <mergeCell ref="B1:H1"/>
    <mergeCell ref="B26:B28"/>
    <mergeCell ref="B5:B15"/>
    <mergeCell ref="B38:B40"/>
    <mergeCell ref="B16:B18"/>
    <mergeCell ref="B19:B20"/>
  </mergeCells>
  <printOptions horizontalCentered="1"/>
  <pageMargins left="0.23622047244094491" right="0.23622047244094491" top="0.23622047244094491" bottom="0.23622047244094491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Frozen Food</vt:lpstr>
      <vt:lpstr>Beverages</vt:lpstr>
      <vt:lpstr>Groceries &amp; Breakfast</vt:lpstr>
      <vt:lpstr>Rice &amp; Oil</vt:lpstr>
      <vt:lpstr>Canned Food &amp; Condiment</vt:lpstr>
      <vt:lpstr>Snacks </vt:lpstr>
      <vt:lpstr>Tissue &amp; Others</vt:lpstr>
      <vt:lpstr>Cleaning 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suah chee wei</cp:lastModifiedBy>
  <cp:revision>1</cp:revision>
  <cp:lastPrinted>2025-09-16T08:08:17Z</cp:lastPrinted>
  <dcterms:created xsi:type="dcterms:W3CDTF">2017-04-01T13:39:00Z</dcterms:created>
  <dcterms:modified xsi:type="dcterms:W3CDTF">2026-04-14T15:36:07Z</dcterms:modified>
</cp:coreProperties>
</file>